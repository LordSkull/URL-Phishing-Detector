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 Dataset" sheetId="1" state="visible" r:id="rId3"/>
    <sheet name="Catalogo Feature" sheetId="2" state="visible" r:id="rId4"/>
    <sheet name="Feature Importance" sheetId="3" state="visible" r:id="rId5"/>
    <sheet name="Distribuzion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<sst xmlns="http://schemas.openxmlformats.org/spreadsheetml/2006/main" count="373" uniqueCount="186">
  <si>
    <t xml:space="preserve">Phishing Websites - Analisi delle Feature</t>
  </si>
  <si>
    <t xml:space="preserve">Riferimenti</t>
  </si>
  <si>
    <t xml:space="preserve">Sorgente originale</t>
  </si>
  <si>
    <t xml:space="preserve">UCI Machine Learning Repository - Phishing Websites Dataset</t>
  </si>
  <si>
    <t xml:space="preserve">URL UCI</t>
  </si>
  <si>
    <t xml:space="preserve">https://archive.ics.uci.edu/dataset/327/phishing+websites</t>
  </si>
  <si>
    <t xml:space="preserve">URL Kaggle</t>
  </si>
  <si>
    <t xml:space="preserve">https://www.kaggle.com/datasets/hasibur013/phishing-data</t>
  </si>
  <si>
    <t xml:space="preserve">Articolo di riferimento</t>
  </si>
  <si>
    <t xml:space="preserve">Mohammad, Thabtah, McCluskey - Phishing Websites Features</t>
  </si>
  <si>
    <t xml:space="preserve">Numero righe</t>
  </si>
  <si>
    <t xml:space="preserve">Numero colonne totali</t>
  </si>
  <si>
    <t xml:space="preserve">Feature usate per training</t>
  </si>
  <si>
    <t xml:space="preserve">Esempi Phishing (Result = -1)</t>
  </si>
  <si>
    <t xml:space="preserve">Esempi Legittimi (Result = 1)</t>
  </si>
  <si>
    <t xml:space="preserve">Bilanciamento classi</t>
  </si>
  <si>
    <t xml:space="preserve">44.3% phishing / 55.7% legittimi</t>
  </si>
  <si>
    <t xml:space="preserve">Categorie di Feature</t>
  </si>
  <si>
    <t xml:space="preserve">Categoria</t>
  </si>
  <si>
    <t xml:space="preserve">N. Feature</t>
  </si>
  <si>
    <t xml:space="preserve">Descrizione</t>
  </si>
  <si>
    <t xml:space="preserve">Address Bar</t>
  </si>
  <si>
    <t xml:space="preserve">Caratteristiche dell'URL e della barra degli indirizzi</t>
  </si>
  <si>
    <t xml:space="preserve">Abnormal</t>
  </si>
  <si>
    <t xml:space="preserve">Comportamenti anomali della pagina (form, link, richieste)</t>
  </si>
  <si>
    <t xml:space="preserve">HTML/JS</t>
  </si>
  <si>
    <t xml:space="preserve">Tecniche HTML e JavaScript usate per ingannare l'utente</t>
  </si>
  <si>
    <t xml:space="preserve">Domain</t>
  </si>
  <si>
    <t xml:space="preserve">Informazioni su WHOIS, DNS, traffico, ranking</t>
  </si>
  <si>
    <t xml:space="preserve">Codifica dei valori</t>
  </si>
  <si>
    <t xml:space="preserve">Valore</t>
  </si>
  <si>
    <t xml:space="preserve">Significato</t>
  </si>
  <si>
    <t xml:space="preserve">Valore -1</t>
  </si>
  <si>
    <t xml:space="preserve">Indicatore di phishing</t>
  </si>
  <si>
    <t xml:space="preserve">Valore 0</t>
  </si>
  <si>
    <t xml:space="preserve">Sospetto / incerto</t>
  </si>
  <si>
    <t xml:space="preserve">Valore 1</t>
  </si>
  <si>
    <t xml:space="preserve">Indicatore di legittimita'</t>
  </si>
  <si>
    <t xml:space="preserve">Result -1</t>
  </si>
  <si>
    <t xml:space="preserve">Sito di phishing</t>
  </si>
  <si>
    <t xml:space="preserve">Result 1</t>
  </si>
  <si>
    <t xml:space="preserve">Sito legittimo</t>
  </si>
  <si>
    <t xml:space="preserve">#</t>
  </si>
  <si>
    <t xml:space="preserve">Nome (dataset)</t>
  </si>
  <si>
    <t xml:space="preserve">Nome leggibile</t>
  </si>
  <si>
    <t xml:space="preserve">Regola di classificazione</t>
  </si>
  <si>
    <t xml:space="preserve">Valori</t>
  </si>
  <si>
    <t xml:space="preserve">having_IPhaving_IP_Address</t>
  </si>
  <si>
    <t xml:space="preserve">Uso indirizzo IP</t>
  </si>
  <si>
    <t xml:space="preserve">Verifica se l'URL utilizza un indirizzo IP al posto del nome di dominio (anche in formato esadecimale). I phisher usano IP per nascondere l'identita' del sito.</t>
  </si>
  <si>
    <t xml:space="preserve">IP nel dominio -&gt; Phishing (-1); altrimenti Legittimo (1)</t>
  </si>
  <si>
    <t xml:space="preserve">-1, 1</t>
  </si>
  <si>
    <t xml:space="preserve">URLURL_Length</t>
  </si>
  <si>
    <t xml:space="preserve">Lunghezza URL</t>
  </si>
  <si>
    <t xml:space="preserve">URL molto lunghi possono nascondere parti sospette. La soglia e' calcolata sulla lunghezza media degli URL del dataset.</t>
  </si>
  <si>
    <t xml:space="preserve">Lunghezza &lt; 54 -&gt; Legittimo (1); 54-75 -&gt; Sospetto (0); &gt; 75 -&gt; Phishing (-1)</t>
  </si>
  <si>
    <t xml:space="preserve">-1, 0, 1</t>
  </si>
  <si>
    <t xml:space="preserve">Shortining_Service</t>
  </si>
  <si>
    <t xml:space="preserve">URL accorciato (TinyURL)</t>
  </si>
  <si>
    <t xml:space="preserve">Servizi come TinyURL o bit.ly accorciano gli URL nascondendo la destinazione reale, usati spesso da phisher.</t>
  </si>
  <si>
    <t xml:space="preserve">URL accorciato -&gt; Phishing (-1); altrimenti Legittimo (1)</t>
  </si>
  <si>
    <t xml:space="preserve">having_At_Symbol</t>
  </si>
  <si>
    <t xml:space="preserve">Simbolo @ nell'URL</t>
  </si>
  <si>
    <t xml:space="preserve">Il simbolo @ fa ignorare al browser tutto cio' che lo precede; viene usato per mascherare il vero dominio.</t>
  </si>
  <si>
    <t xml:space="preserve">Presenza di @ -&gt; Phishing (-1); assenza -&gt; Legittimo (1)</t>
  </si>
  <si>
    <t xml:space="preserve">double_slash_redirecting</t>
  </si>
  <si>
    <t xml:space="preserve">Doppio slash // di redirect</t>
  </si>
  <si>
    <t xml:space="preserve">Un // dopo la posizione 7 indica un redirect a un altro sito. URL legittimi non contengono // oltre quella posizione.</t>
  </si>
  <si>
    <t xml:space="preserve">Posizione ultimo // &gt; 7 -&gt; Phishing (-1); altrimenti Legittimo (1)</t>
  </si>
  <si>
    <t xml:space="preserve">Prefix_Suffix</t>
  </si>
  <si>
    <t xml:space="preserve">Prefisso/suffisso con trattino</t>
  </si>
  <si>
    <t xml:space="preserve">I phisher aggiungono trattini al dominio per imitare siti legittimi (es. www.confirme-paypal.com). Il trattino e' raro nei domini reali.</t>
  </si>
  <si>
    <t xml:space="preserve">Trattino nel dominio -&gt; Phishing (-1); altrimenti Legittimo (1)</t>
  </si>
  <si>
    <t xml:space="preserve">having_Sub_Domain</t>
  </si>
  <si>
    <t xml:space="preserve">Numero di sottodomini</t>
  </si>
  <si>
    <t xml:space="preserve">Un dominio con molti sottodomini e' sospetto. Si contano i punti dopo aver rimosso www e ccTLD.</t>
  </si>
  <si>
    <t xml:space="preserve">1 punto -&gt; Legittimo (1); 2 punti -&gt; Sospetto (0); &gt;2 punti -&gt; Phishing (-1)</t>
  </si>
  <si>
    <t xml:space="preserve">SSLfinal_State</t>
  </si>
  <si>
    <t xml:space="preserve">Stato HTTPS/Certificato SSL</t>
  </si>
  <si>
    <t xml:space="preserve">Verifica HTTPS, l'autorita' che ha rilasciato il certificato (deve essere fidata) e l'eta' del certificato (&gt;= 1 anno).</t>
  </si>
  <si>
    <t xml:space="preserve">HTTPS + emittente fidato + eta' &gt;= 1 anno -&gt; Legittimo (1); HTTPS non fidato -&gt; Sospetto (0); altrimenti Phishing (-1)</t>
  </si>
  <si>
    <t xml:space="preserve">Domain_registeration_length</t>
  </si>
  <si>
    <t xml:space="preserve">Durata registrazione dominio</t>
  </si>
  <si>
    <t xml:space="preserve">Domini di phishing hanno vita breve, di solito registrati per un solo anno. Domini legittimi pagano anni in anticipo.</t>
  </si>
  <si>
    <t xml:space="preserve">Scadenza &lt;= 1 anno -&gt; Phishing (-1); altrimenti Legittimo (1)</t>
  </si>
  <si>
    <t xml:space="preserve">Favicon</t>
  </si>
  <si>
    <t xml:space="preserve">Origine della favicon</t>
  </si>
  <si>
    <t xml:space="preserve">Se la favicon (icona del sito) e' caricata da un dominio diverso da quello visualizzato, e' indizio di phishing.</t>
  </si>
  <si>
    <t xml:space="preserve">Favicon da dominio esterno -&gt; Phishing (-1); stesso dominio -&gt; Legittimo (1)</t>
  </si>
  <si>
    <t xml:space="preserve">port</t>
  </si>
  <si>
    <t xml:space="preserve">Porta non standard</t>
  </si>
  <si>
    <t xml:space="preserve">Porte aperte non necessarie sono un rischio di sicurezza. I siti legittimi tengono aperte solo le porte essenziali (80, 443).</t>
  </si>
  <si>
    <t xml:space="preserve">Porta non nello stato preferito -&gt; Phishing (-1); altrimenti Legittimo (1)</t>
  </si>
  <si>
    <t xml:space="preserve">HTTPS_token</t>
  </si>
  <si>
    <t xml:space="preserve">Token 'https' nel dominio</t>
  </si>
  <si>
    <t xml:space="preserve">I phisher inseriscono la parola 'https' nel dominio per ingannare l'utente (es. https-www-paypal-it.soft-hair.com).</t>
  </si>
  <si>
    <t xml:space="preserve">Token https nel dominio -&gt; Phishing (-1); altrimenti Legittimo (1)</t>
  </si>
  <si>
    <t xml:space="preserve">Request_URL</t>
  </si>
  <si>
    <t xml:space="preserve">URL delle richieste esterne</t>
  </si>
  <si>
    <t xml:space="preserve">Verifica la percentuale di oggetti (immagini, video, suoni) caricati da domini diversi rispetto a quello della pagina.</t>
  </si>
  <si>
    <t xml:space="preserve">&lt; 22% -&gt; Legittimo (1); 22-61% -&gt; Sospetto (0); &gt; 61% -&gt; Phishing (-1)</t>
  </si>
  <si>
    <t xml:space="preserve">URL_of_Anchor</t>
  </si>
  <si>
    <t xml:space="preserve">URL dei tag &lt;a&gt;</t>
  </si>
  <si>
    <t xml:space="preserve">Percentuale di tag &lt;a&gt; che puntano a un dominio diverso o sono vuoti (#, javascript:void(0), ecc.). Forte indicatore di phishing.</t>
  </si>
  <si>
    <t xml:space="preserve">&lt; 31% -&gt; Legittimo (1); 31-67% -&gt; Sospetto (0); &gt; 67% -&gt; Phishing (-1)</t>
  </si>
  <si>
    <t xml:space="preserve">Links_in_tags</t>
  </si>
  <si>
    <t xml:space="preserve">Link in &lt;Meta&gt;, &lt;Script&gt;, &lt;Link&gt;</t>
  </si>
  <si>
    <t xml:space="preserve">Percentuale di link nei tag Meta/Script/Link che puntano a domini esterni rispetto a quello della pagina.</t>
  </si>
  <si>
    <t xml:space="preserve">&lt; 17% -&gt; Legittimo (1); 17-81% -&gt; Sospetto (0); &gt; 81% -&gt; Phishing (-1)</t>
  </si>
  <si>
    <t xml:space="preserve">SFH</t>
  </si>
  <si>
    <t xml:space="preserve">Server Form Handler</t>
  </si>
  <si>
    <t xml:space="preserve">L'attributo action dei form dovrebbe puntare allo stesso dominio. Se vuoto, 'about:blank' o esterno, e' sospetto.</t>
  </si>
  <si>
    <t xml:space="preserve">SFH vuoto/about:blank -&gt; Phishing (-1); SFH dominio diverso -&gt; Sospetto (0); altrimenti Legittimo (1)</t>
  </si>
  <si>
    <t xml:space="preserve">Submitting_to_email</t>
  </si>
  <si>
    <t xml:space="preserve">Invio dati a email</t>
  </si>
  <si>
    <t xml:space="preserve">I phisher usano funzioni come mail() (PHP) o mailto: per ricevere i dati direttamente via email anziche' su un server.</t>
  </si>
  <si>
    <t xml:space="preserve">Uso di mail()/mailto: -&gt; Phishing (-1); altrimenti Legittimo (1)</t>
  </si>
  <si>
    <t xml:space="preserve">Abnormal_URL</t>
  </si>
  <si>
    <t xml:space="preserve">URL anomalo (WHOIS)</t>
  </si>
  <si>
    <t xml:space="preserve">Verifica tramite WHOIS se l'identita' del sito (host name) compare nell'URL. I siti legittimi hanno coerenza tra host e URL.</t>
  </si>
  <si>
    <t xml:space="preserve">Host name non incluso nell'URL -&gt; Phishing (-1); altrimenti Legittimo (1)</t>
  </si>
  <si>
    <t xml:space="preserve">Redirect</t>
  </si>
  <si>
    <t xml:space="preserve">Numero di redirect della pagina</t>
  </si>
  <si>
    <t xml:space="preserve">Quante volte la pagina viene reindirizzata. I siti legittimi al massimo 1 volta, quelli di phishing almeno 4.</t>
  </si>
  <si>
    <t xml:space="preserve">&lt;= 1 redirect -&gt; Legittimo (1); 2-3 -&gt; Sospetto; &gt;= 4 -&gt; Phishing</t>
  </si>
  <si>
    <t xml:space="preserve">0, 1</t>
  </si>
  <si>
    <t xml:space="preserve">on_mouseover</t>
  </si>
  <si>
    <t xml:space="preserve">Modifica della status bar</t>
  </si>
  <si>
    <t xml:space="preserve">JavaScript che cambia il contenuto della barra di stato al passaggio del mouse, mostrando un URL falso.</t>
  </si>
  <si>
    <t xml:space="preserve">onMouseOver modifica status bar -&gt; Phishing (-1); altrimenti Legittimo (1)</t>
  </si>
  <si>
    <t xml:space="preserve">RightClick</t>
  </si>
  <si>
    <t xml:space="preserve">Tasto destro disabilitato</t>
  </si>
  <si>
    <t xml:space="preserve">I phisher disabilitano il click destro (event.button==2) per impedire all'utente di vedere il codice sorgente.</t>
  </si>
  <si>
    <t xml:space="preserve">Tasto destro disabilitato -&gt; Phishing (-1); altrimenti Legittimo (1)</t>
  </si>
  <si>
    <t xml:space="preserve">popUpWidnow</t>
  </si>
  <si>
    <t xml:space="preserve">Pop-up con campi di testo</t>
  </si>
  <si>
    <t xml:space="preserve">Pop-up che richiedono dati personali sono indicatori forti di phishing. I siti legittimi non chiedono dati nei pop-up.</t>
  </si>
  <si>
    <t xml:space="preserve">Pop-up con campi testo -&gt; Phishing (-1); altrimenti Legittimo (1)</t>
  </si>
  <si>
    <t xml:space="preserve">Iframe</t>
  </si>
  <si>
    <t xml:space="preserve">Uso di iframe nascosti</t>
  </si>
  <si>
    <t xml:space="preserve">Iframe invisibili (frameBorder=0) possono caricare contenuti malevoli senza che l'utente se ne accorga.</t>
  </si>
  <si>
    <t xml:space="preserve">Uso di iframe -&gt; Phishing (-1); altrimenti Legittimo (1)</t>
  </si>
  <si>
    <t xml:space="preserve">age_of_domain</t>
  </si>
  <si>
    <t xml:space="preserve">Eta' del dominio</t>
  </si>
  <si>
    <t xml:space="preserve">Estratta da WHOIS. I siti di phishing hanno vita breve; un dominio legittimo ha almeno 6 mesi di vita.</t>
  </si>
  <si>
    <t xml:space="preserve">Eta' &gt;= 6 mesi -&gt; Legittimo (1); altrimenti Phishing (-1)</t>
  </si>
  <si>
    <t xml:space="preserve">DNSRecord</t>
  </si>
  <si>
    <t xml:space="preserve">Presenza record DNS</t>
  </si>
  <si>
    <t xml:space="preserve">Se il record DNS e' vuoto o l'host non e' riconosciuto da WHOIS, il sito e' sospetto.</t>
  </si>
  <si>
    <t xml:space="preserve">Nessun record DNS -&gt; Phishing (-1); altrimenti Legittimo (1)</t>
  </si>
  <si>
    <t xml:space="preserve">web_traffic</t>
  </si>
  <si>
    <t xml:space="preserve">Traffico web (Alexa)</t>
  </si>
  <si>
    <t xml:space="preserve">Misura la popolarita' tramite Alexa. Siti legittimi sono almeno tra i top 100.000.</t>
  </si>
  <si>
    <t xml:space="preserve">Rank &lt; 100k -&gt; Legittimo (1); Rank &gt; 100k -&gt; Sospetto (0); non riconosciuto -&gt; Phishing (-1)</t>
  </si>
  <si>
    <t xml:space="preserve">Page_Rank</t>
  </si>
  <si>
    <t xml:space="preserve">Google PageRank</t>
  </si>
  <si>
    <t xml:space="preserve">Valore tra 0 e 1 che misura l'importanza della pagina. Il 95% dei phishing ha PageRank nullo.</t>
  </si>
  <si>
    <t xml:space="preserve">PageRank &lt; 0.2 -&gt; Phishing (-1); altrimenti Legittimo (1)</t>
  </si>
  <si>
    <t xml:space="preserve">Google_Index</t>
  </si>
  <si>
    <t xml:space="preserve">Indicizzazione Google</t>
  </si>
  <si>
    <t xml:space="preserve">Verifica se il sito e' presente nell'indice Google. I siti di phishing, vivendo poco, spesso non sono indicizzati.</t>
  </si>
  <si>
    <t xml:space="preserve">Pagina indicizzata -&gt; Legittimo (1); altrimenti Phishing (-1)</t>
  </si>
  <si>
    <t xml:space="preserve">Links_pointing_to_page</t>
  </si>
  <si>
    <t xml:space="preserve">Link in entrata</t>
  </si>
  <si>
    <t xml:space="preserve">Numero di link esterni che puntano alla pagina. Il 98% dei phishing non ne ha; i legittimi ne hanno almeno 2.</t>
  </si>
  <si>
    <t xml:space="preserve">0 link -&gt; Phishing (-1); 1-2 link -&gt; Sospetto (0); &gt; 2 -&gt; Legittimo (1)</t>
  </si>
  <si>
    <t xml:space="preserve">Statistical_report</t>
  </si>
  <si>
    <t xml:space="preserve">Report statistici (PhishTank)</t>
  </si>
  <si>
    <t xml:space="preserve">Verifica se host/IP compaiono nelle Top liste di phishing pubblicate da PhishTank e StopBadware.</t>
  </si>
  <si>
    <t xml:space="preserve">Host nei top phishing -&gt; Phishing (-1); altrimenti Legittimo (1)</t>
  </si>
  <si>
    <t xml:space="preserve">Feature Importance - Random Forest Classifier</t>
  </si>
  <si>
    <t xml:space="preserve">Importanza relativa di ciascuna feature nel decidere se un sito e' phishing</t>
  </si>
  <si>
    <t xml:space="preserve">Posizione</t>
  </si>
  <si>
    <t xml:space="preserve">Feature</t>
  </si>
  <si>
    <t xml:space="preserve">Importance</t>
  </si>
  <si>
    <t xml:space="preserve">% del totale</t>
  </si>
  <si>
    <t xml:space="preserve">TOTALE</t>
  </si>
  <si>
    <t xml:space="preserve">Distribuzione Phishing/Legittimi per ogni Feature</t>
  </si>
  <si>
    <t xml:space="preserve">Per ogni feature e per ogni valore: quanti esempi sono phishing e quanti legittimi</t>
  </si>
  <si>
    <t xml:space="preserve">Totale</t>
  </si>
  <si>
    <t xml:space="preserve">Phishing</t>
  </si>
  <si>
    <t xml:space="preserve">Legittimi</t>
  </si>
  <si>
    <t xml:space="preserve">% Phishing</t>
  </si>
  <si>
    <t xml:space="preserve">Indica phishing</t>
  </si>
  <si>
    <t xml:space="preserve">Indica legittimo</t>
  </si>
  <si>
    <t xml:space="preserve">Sospetto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</si>
</sst>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4F81BD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878787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BF8F00"/>
        <bgColor rgb="FFED7D31"/>
      </patternFill>
    </fill>
    <fill>
      <patternFill patternType="solid">
        <fgColor rgb="FF00B050"/>
        <bgColor rgb="FF008080"/>
      </patternFill>
    </fill>
    <fill>
      <patternFill patternType="solid">
        <fgColor rgb="FFF2F2F2"/>
        <bgColor rgb="FFF9F9F9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9999F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9F9F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BF8F00"/>
      <rgbColor rgb="FFED7D31"/>
      <rgbColor rgb="FF595959"/>
      <rgbColor rgb="FF70AD47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Importanza delle Feature (Random Forest)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'Feature Importance'!C4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'Feature Importance'!$B$5:$B$34</c:f>
              <c:strCache>
                <c:ptCount val="30"/>
                <c:pt idx="0">
                  <c:v>SSLfinal_State</c:v>
                </c:pt>
                <c:pt idx="1">
                  <c:v>URL_of_Anchor</c:v>
                </c:pt>
                <c:pt idx="2">
                  <c:v>web_traffic</c:v>
                </c:pt>
                <c:pt idx="3">
                  <c:v>having_Sub_Domain</c:v>
                </c:pt>
                <c:pt idx="4">
                  <c:v>Links_in_tags</c:v>
                </c:pt>
                <c:pt idx="5">
                  <c:v>Prefix_Suffix</c:v>
                </c:pt>
                <c:pt idx="6">
                  <c:v>SFH</c:v>
                </c:pt>
                <c:pt idx="7">
                  <c:v>Request_URL</c:v>
                </c:pt>
                <c:pt idx="8">
                  <c:v>Links_pointing_to_page</c:v>
                </c:pt>
                <c:pt idx="9">
                  <c:v>Domain_registeration_length</c:v>
                </c:pt>
                <c:pt idx="10">
                  <c:v>age_of_domain</c:v>
                </c:pt>
                <c:pt idx="11">
                  <c:v>Google_Index</c:v>
                </c:pt>
                <c:pt idx="12">
                  <c:v>having_IPhaving_IP_Address</c:v>
                </c:pt>
                <c:pt idx="13">
                  <c:v>DNSRecord</c:v>
                </c:pt>
                <c:pt idx="14">
                  <c:v>Page_Rank</c:v>
                </c:pt>
                <c:pt idx="15">
                  <c:v>URLURL_Length</c:v>
                </c:pt>
                <c:pt idx="16">
                  <c:v>HTTPS_token</c:v>
                </c:pt>
                <c:pt idx="17">
                  <c:v>having_At_Symbol</c:v>
                </c:pt>
                <c:pt idx="18">
                  <c:v>Statistical_report</c:v>
                </c:pt>
                <c:pt idx="19">
                  <c:v>Redirect</c:v>
                </c:pt>
                <c:pt idx="20">
                  <c:v>Submitting_to_email</c:v>
                </c:pt>
                <c:pt idx="21">
                  <c:v>popUpWidnow</c:v>
                </c:pt>
                <c:pt idx="22">
                  <c:v>Favicon</c:v>
                </c:pt>
                <c:pt idx="23">
                  <c:v>Abnormal_URL</c:v>
                </c:pt>
                <c:pt idx="24">
                  <c:v>Shortining_Service</c:v>
                </c:pt>
                <c:pt idx="25">
                  <c:v>on_mouseover</c:v>
                </c:pt>
                <c:pt idx="26">
                  <c:v>double_slash_redirecting</c:v>
                </c:pt>
                <c:pt idx="27">
                  <c:v>port</c:v>
                </c:pt>
                <c:pt idx="28">
                  <c:v>Iframe</c:v>
                </c:pt>
                <c:pt idx="29">
                  <c:v>RightClick</c:v>
                </c:pt>
              </c:strCache>
            </c:strRef>
          </c:cat>
          <c:val>
            <c:numRef>
              <c:f>'Feature Importance'!$C$5:$C$34</c:f>
              <c:numCache>
                <c:formatCode>0.0000</c:formatCode>
                <c:ptCount val="30"/>
                <c:pt idx="0">
                  <c:v>0.3311</c:v>
                </c:pt>
                <c:pt idx="1">
                  <c:v>0.2377</c:v>
                </c:pt>
                <c:pt idx="2">
                  <c:v>0.0728</c:v>
                </c:pt>
                <c:pt idx="3">
                  <c:v>0.0651</c:v>
                </c:pt>
                <c:pt idx="4">
                  <c:v>0.0427</c:v>
                </c:pt>
                <c:pt idx="5">
                  <c:v>0.0387</c:v>
                </c:pt>
                <c:pt idx="6">
                  <c:v>0.0195</c:v>
                </c:pt>
                <c:pt idx="7">
                  <c:v>0.0189</c:v>
                </c:pt>
                <c:pt idx="8">
                  <c:v>0.0188</c:v>
                </c:pt>
                <c:pt idx="9">
                  <c:v>0.0173</c:v>
                </c:pt>
                <c:pt idx="10">
                  <c:v>0.0155</c:v>
                </c:pt>
                <c:pt idx="11">
                  <c:v>0.0142</c:v>
                </c:pt>
                <c:pt idx="12">
                  <c:v>0.014</c:v>
                </c:pt>
                <c:pt idx="13">
                  <c:v>0.0128</c:v>
                </c:pt>
                <c:pt idx="14">
                  <c:v>0.0128</c:v>
                </c:pt>
                <c:pt idx="15">
                  <c:v>0.0087</c:v>
                </c:pt>
                <c:pt idx="16">
                  <c:v>0.0061</c:v>
                </c:pt>
                <c:pt idx="17">
                  <c:v>0.0057</c:v>
                </c:pt>
                <c:pt idx="18">
                  <c:v>0.0054</c:v>
                </c:pt>
                <c:pt idx="19">
                  <c:v>0.0051</c:v>
                </c:pt>
                <c:pt idx="20">
                  <c:v>0.0051</c:v>
                </c:pt>
                <c:pt idx="21">
                  <c:v>0.005</c:v>
                </c:pt>
                <c:pt idx="22">
                  <c:v>0.0048</c:v>
                </c:pt>
                <c:pt idx="23">
                  <c:v>0.0048</c:v>
                </c:pt>
                <c:pt idx="24">
                  <c:v>0.0047</c:v>
                </c:pt>
                <c:pt idx="25">
                  <c:v>0.0033</c:v>
                </c:pt>
                <c:pt idx="26">
                  <c:v>0.0033</c:v>
                </c:pt>
                <c:pt idx="27">
                  <c:v>0.0026</c:v>
                </c:pt>
                <c:pt idx="28">
                  <c:v>0.0021</c:v>
                </c:pt>
                <c:pt idx="29">
                  <c:v>0.0013</c:v>
                </c:pt>
              </c:numCache>
            </c:numRef>
          </c:val>
        </c:ser>
        <c:gapWidth val="150"/>
        <c:overlap val="0"/>
        <c:axId val="46607304"/>
        <c:axId val="6649819"/>
      </c:barChart>
      <c:catAx>
        <c:axId val="4660730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Importance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9819"/>
        <c:crosses val="autoZero"/>
        <c:auto val="1"/>
        <c:lblAlgn val="ctr"/>
        <c:lblOffset val="100"/>
        <c:noMultiLvlLbl val="0"/>
      </c:catAx>
      <c:valAx>
        <c:axId val="66498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Feature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073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17</xdr:col>
      <xdr:colOff>581400</xdr:colOff>
      <xdr:row>36</xdr:row>
      <xdr:rowOff>133560</xdr:rowOff>
    </xdr:to>
    <xdr:graphicFrame>
      <xdr:nvGraphicFramePr>
        <xdr:cNvPr id="0" name="Chart 1"/>
        <xdr:cNvGraphicFramePr/>
      </xdr:nvGraphicFramePr>
      <xdr:xfrm>
        <a:off x="5545440" y="571680"/>
        <a:ext cx="791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40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</row>
    <row r="3" customFormat="false" ht="16.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n">
        <v>11055</v>
      </c>
    </row>
    <row r="9" customFormat="false" ht="15" hidden="false" customHeight="false" outlineLevel="0" collapsed="false">
      <c r="A9" s="3" t="s">
        <v>11</v>
      </c>
      <c r="B9" s="4" t="n">
        <v>32</v>
      </c>
    </row>
    <row r="10" customFormat="false" ht="15" hidden="false" customHeight="false" outlineLevel="0" collapsed="false">
      <c r="A10" s="3" t="s">
        <v>12</v>
      </c>
      <c r="B10" s="4" t="n">
        <v>30</v>
      </c>
    </row>
    <row r="11" customFormat="false" ht="15" hidden="false" customHeight="false" outlineLevel="0" collapsed="false">
      <c r="A11" s="3" t="s">
        <v>13</v>
      </c>
      <c r="B11" s="4" t="n">
        <v>4898</v>
      </c>
    </row>
    <row r="12" customFormat="false" ht="15" hidden="false" customHeight="false" outlineLevel="0" collapsed="false">
      <c r="A12" s="3" t="s">
        <v>14</v>
      </c>
      <c r="B12" s="4" t="n">
        <v>6157</v>
      </c>
    </row>
    <row r="13" customFormat="false" ht="15" hidden="false" customHeight="false" outlineLevel="0" collapsed="false">
      <c r="A13" s="3" t="s">
        <v>15</v>
      </c>
      <c r="B13" s="4" t="s">
        <v>16</v>
      </c>
    </row>
    <row r="16" customFormat="false" ht="16.15" hidden="false" customHeight="false" outlineLevel="0" collapsed="false">
      <c r="A16" s="2" t="s">
        <v>17</v>
      </c>
    </row>
    <row r="17" customFormat="false" ht="15" hidden="false" customHeight="false" outlineLevel="0" collapsed="false">
      <c r="A17" s="5" t="s">
        <v>18</v>
      </c>
      <c r="B17" s="5" t="s">
        <v>19</v>
      </c>
      <c r="C17" s="5" t="s">
        <v>20</v>
      </c>
    </row>
    <row r="18" customFormat="false" ht="15" hidden="false" customHeight="false" outlineLevel="0" collapsed="false">
      <c r="A18" s="6" t="s">
        <v>21</v>
      </c>
      <c r="B18" s="7" t="n">
        <v>12</v>
      </c>
      <c r="C18" s="8" t="s">
        <v>22</v>
      </c>
    </row>
    <row r="19" customFormat="false" ht="15" hidden="false" customHeight="false" outlineLevel="0" collapsed="false">
      <c r="A19" s="9" t="s">
        <v>23</v>
      </c>
      <c r="B19" s="7" t="n">
        <v>6</v>
      </c>
      <c r="C19" s="8" t="s">
        <v>24</v>
      </c>
    </row>
    <row r="20" customFormat="false" ht="15" hidden="false" customHeight="false" outlineLevel="0" collapsed="false">
      <c r="A20" s="10" t="s">
        <v>25</v>
      </c>
      <c r="B20" s="7" t="n">
        <v>5</v>
      </c>
      <c r="C20" s="8" t="s">
        <v>26</v>
      </c>
    </row>
    <row r="21" customFormat="false" ht="15" hidden="false" customHeight="false" outlineLevel="0" collapsed="false">
      <c r="A21" s="11" t="s">
        <v>27</v>
      </c>
      <c r="B21" s="7" t="n">
        <v>7</v>
      </c>
      <c r="C21" s="8" t="s">
        <v>28</v>
      </c>
    </row>
    <row r="23" customFormat="false" ht="16.15" hidden="false" customHeight="false" outlineLevel="0" collapsed="false">
      <c r="A23" s="2" t="s">
        <v>29</v>
      </c>
    </row>
    <row r="24" customFormat="false" ht="15" hidden="false" customHeight="false" outlineLevel="0" collapsed="false">
      <c r="A24" s="5" t="s">
        <v>30</v>
      </c>
      <c r="B24" s="5" t="s">
        <v>31</v>
      </c>
    </row>
    <row r="25" customFormat="false" ht="15" hidden="false" customHeight="false" outlineLevel="0" collapsed="false">
      <c r="A25" s="12" t="s">
        <v>32</v>
      </c>
      <c r="B25" s="4" t="s">
        <v>33</v>
      </c>
    </row>
    <row r="26" customFormat="false" ht="15" hidden="false" customHeight="false" outlineLevel="0" collapsed="false">
      <c r="A26" s="13" t="s">
        <v>34</v>
      </c>
      <c r="B26" s="4" t="s">
        <v>35</v>
      </c>
    </row>
    <row r="27" customFormat="false" ht="15" hidden="false" customHeight="false" outlineLevel="0" collapsed="false">
      <c r="A27" s="14" t="s">
        <v>36</v>
      </c>
      <c r="B27" s="4" t="s">
        <v>37</v>
      </c>
    </row>
    <row r="28" customFormat="false" ht="15" hidden="false" customHeight="false" outlineLevel="0" collapsed="false">
      <c r="A28" s="12" t="s">
        <v>38</v>
      </c>
      <c r="B28" s="4" t="s">
        <v>39</v>
      </c>
    </row>
    <row r="29" customFormat="false" ht="15" hidden="false" customHeight="false" outlineLevel="0" collapsed="false">
      <c r="A29" s="14" t="s">
        <v>40</v>
      </c>
      <c r="B29" s="4" t="s">
        <v>41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4" min="3" style="0" width="28"/>
    <col collapsed="false" customWidth="true" hidden="false" outlineLevel="0" max="5" min="5" style="0" width="60"/>
    <col collapsed="false" customWidth="true" hidden="false" outlineLevel="0" max="6" min="6" style="0" width="55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5" t="s">
        <v>42</v>
      </c>
      <c r="B1" s="15" t="s">
        <v>18</v>
      </c>
      <c r="C1" s="15" t="s">
        <v>43</v>
      </c>
      <c r="D1" s="15" t="s">
        <v>44</v>
      </c>
      <c r="E1" s="15" t="s">
        <v>20</v>
      </c>
      <c r="F1" s="15" t="s">
        <v>45</v>
      </c>
      <c r="G1" s="15" t="s">
        <v>46</v>
      </c>
    </row>
    <row r="2" customFormat="false" ht="60" hidden="false" customHeight="true" outlineLevel="0" collapsed="false">
      <c r="A2" s="16" t="n">
        <v>1</v>
      </c>
      <c r="B2" s="17" t="s">
        <v>21</v>
      </c>
      <c r="C2" s="18" t="s">
        <v>47</v>
      </c>
      <c r="D2" s="19" t="s">
        <v>48</v>
      </c>
      <c r="E2" s="20" t="s">
        <v>49</v>
      </c>
      <c r="F2" s="20" t="s">
        <v>50</v>
      </c>
      <c r="G2" s="16" t="s">
        <v>51</v>
      </c>
    </row>
    <row r="3" customFormat="false" ht="60" hidden="false" customHeight="true" outlineLevel="0" collapsed="false">
      <c r="A3" s="21" t="n">
        <v>2</v>
      </c>
      <c r="B3" s="17" t="s">
        <v>21</v>
      </c>
      <c r="C3" s="22" t="s">
        <v>52</v>
      </c>
      <c r="D3" s="23" t="s">
        <v>53</v>
      </c>
      <c r="E3" s="24" t="s">
        <v>54</v>
      </c>
      <c r="F3" s="24" t="s">
        <v>55</v>
      </c>
      <c r="G3" s="21" t="s">
        <v>56</v>
      </c>
    </row>
    <row r="4" customFormat="false" ht="60" hidden="false" customHeight="true" outlineLevel="0" collapsed="false">
      <c r="A4" s="16" t="n">
        <v>3</v>
      </c>
      <c r="B4" s="17" t="s">
        <v>21</v>
      </c>
      <c r="C4" s="18" t="s">
        <v>57</v>
      </c>
      <c r="D4" s="19" t="s">
        <v>58</v>
      </c>
      <c r="E4" s="20" t="s">
        <v>59</v>
      </c>
      <c r="F4" s="20" t="s">
        <v>60</v>
      </c>
      <c r="G4" s="16" t="s">
        <v>51</v>
      </c>
    </row>
    <row r="5" customFormat="false" ht="60" hidden="false" customHeight="true" outlineLevel="0" collapsed="false">
      <c r="A5" s="21" t="n">
        <v>4</v>
      </c>
      <c r="B5" s="17" t="s">
        <v>21</v>
      </c>
      <c r="C5" s="22" t="s">
        <v>61</v>
      </c>
      <c r="D5" s="23" t="s">
        <v>62</v>
      </c>
      <c r="E5" s="24" t="s">
        <v>63</v>
      </c>
      <c r="F5" s="24" t="s">
        <v>64</v>
      </c>
      <c r="G5" s="21" t="s">
        <v>51</v>
      </c>
    </row>
    <row r="6" customFormat="false" ht="60" hidden="false" customHeight="true" outlineLevel="0" collapsed="false">
      <c r="A6" s="16" t="n">
        <v>5</v>
      </c>
      <c r="B6" s="17" t="s">
        <v>21</v>
      </c>
      <c r="C6" s="18" t="s">
        <v>65</v>
      </c>
      <c r="D6" s="19" t="s">
        <v>66</v>
      </c>
      <c r="E6" s="20" t="s">
        <v>67</v>
      </c>
      <c r="F6" s="20" t="s">
        <v>68</v>
      </c>
      <c r="G6" s="16" t="s">
        <v>51</v>
      </c>
    </row>
    <row r="7" customFormat="false" ht="60" hidden="false" customHeight="true" outlineLevel="0" collapsed="false">
      <c r="A7" s="21" t="n">
        <v>6</v>
      </c>
      <c r="B7" s="17" t="s">
        <v>21</v>
      </c>
      <c r="C7" s="22" t="s">
        <v>69</v>
      </c>
      <c r="D7" s="23" t="s">
        <v>70</v>
      </c>
      <c r="E7" s="24" t="s">
        <v>71</v>
      </c>
      <c r="F7" s="24" t="s">
        <v>72</v>
      </c>
      <c r="G7" s="21" t="s">
        <v>51</v>
      </c>
    </row>
    <row r="8" customFormat="false" ht="60" hidden="false" customHeight="true" outlineLevel="0" collapsed="false">
      <c r="A8" s="16" t="n">
        <v>7</v>
      </c>
      <c r="B8" s="17" t="s">
        <v>21</v>
      </c>
      <c r="C8" s="18" t="s">
        <v>73</v>
      </c>
      <c r="D8" s="19" t="s">
        <v>74</v>
      </c>
      <c r="E8" s="20" t="s">
        <v>75</v>
      </c>
      <c r="F8" s="20" t="s">
        <v>76</v>
      </c>
      <c r="G8" s="16" t="s">
        <v>56</v>
      </c>
    </row>
    <row r="9" customFormat="false" ht="60" hidden="false" customHeight="true" outlineLevel="0" collapsed="false">
      <c r="A9" s="21" t="n">
        <v>8</v>
      </c>
      <c r="B9" s="17" t="s">
        <v>21</v>
      </c>
      <c r="C9" s="22" t="s">
        <v>77</v>
      </c>
      <c r="D9" s="23" t="s">
        <v>78</v>
      </c>
      <c r="E9" s="24" t="s">
        <v>79</v>
      </c>
      <c r="F9" s="24" t="s">
        <v>80</v>
      </c>
      <c r="G9" s="21" t="s">
        <v>56</v>
      </c>
    </row>
    <row r="10" customFormat="false" ht="60" hidden="false" customHeight="true" outlineLevel="0" collapsed="false">
      <c r="A10" s="16" t="n">
        <v>9</v>
      </c>
      <c r="B10" s="17" t="s">
        <v>21</v>
      </c>
      <c r="C10" s="18" t="s">
        <v>81</v>
      </c>
      <c r="D10" s="19" t="s">
        <v>82</v>
      </c>
      <c r="E10" s="20" t="s">
        <v>83</v>
      </c>
      <c r="F10" s="20" t="s">
        <v>84</v>
      </c>
      <c r="G10" s="16" t="s">
        <v>51</v>
      </c>
    </row>
    <row r="11" customFormat="false" ht="60" hidden="false" customHeight="true" outlineLevel="0" collapsed="false">
      <c r="A11" s="21" t="n">
        <v>10</v>
      </c>
      <c r="B11" s="17" t="s">
        <v>21</v>
      </c>
      <c r="C11" s="22" t="s">
        <v>85</v>
      </c>
      <c r="D11" s="23" t="s">
        <v>86</v>
      </c>
      <c r="E11" s="24" t="s">
        <v>87</v>
      </c>
      <c r="F11" s="24" t="s">
        <v>88</v>
      </c>
      <c r="G11" s="21" t="s">
        <v>51</v>
      </c>
    </row>
    <row r="12" customFormat="false" ht="60" hidden="false" customHeight="true" outlineLevel="0" collapsed="false">
      <c r="A12" s="16" t="n">
        <v>11</v>
      </c>
      <c r="B12" s="17" t="s">
        <v>21</v>
      </c>
      <c r="C12" s="18" t="s">
        <v>89</v>
      </c>
      <c r="D12" s="19" t="s">
        <v>90</v>
      </c>
      <c r="E12" s="20" t="s">
        <v>91</v>
      </c>
      <c r="F12" s="20" t="s">
        <v>92</v>
      </c>
      <c r="G12" s="16" t="s">
        <v>51</v>
      </c>
    </row>
    <row r="13" customFormat="false" ht="60" hidden="false" customHeight="true" outlineLevel="0" collapsed="false">
      <c r="A13" s="21" t="n">
        <v>12</v>
      </c>
      <c r="B13" s="17" t="s">
        <v>21</v>
      </c>
      <c r="C13" s="22" t="s">
        <v>93</v>
      </c>
      <c r="D13" s="23" t="s">
        <v>94</v>
      </c>
      <c r="E13" s="24" t="s">
        <v>95</v>
      </c>
      <c r="F13" s="24" t="s">
        <v>96</v>
      </c>
      <c r="G13" s="21" t="s">
        <v>51</v>
      </c>
    </row>
    <row r="14" customFormat="false" ht="60" hidden="false" customHeight="true" outlineLevel="0" collapsed="false">
      <c r="A14" s="16" t="n">
        <v>13</v>
      </c>
      <c r="B14" s="25" t="s">
        <v>23</v>
      </c>
      <c r="C14" s="18" t="s">
        <v>97</v>
      </c>
      <c r="D14" s="19" t="s">
        <v>98</v>
      </c>
      <c r="E14" s="20" t="s">
        <v>99</v>
      </c>
      <c r="F14" s="20" t="s">
        <v>100</v>
      </c>
      <c r="G14" s="16" t="s">
        <v>51</v>
      </c>
    </row>
    <row r="15" customFormat="false" ht="60" hidden="false" customHeight="true" outlineLevel="0" collapsed="false">
      <c r="A15" s="21" t="n">
        <v>14</v>
      </c>
      <c r="B15" s="25" t="s">
        <v>23</v>
      </c>
      <c r="C15" s="22" t="s">
        <v>101</v>
      </c>
      <c r="D15" s="23" t="s">
        <v>102</v>
      </c>
      <c r="E15" s="24" t="s">
        <v>103</v>
      </c>
      <c r="F15" s="24" t="s">
        <v>104</v>
      </c>
      <c r="G15" s="21" t="s">
        <v>56</v>
      </c>
    </row>
    <row r="16" customFormat="false" ht="60" hidden="false" customHeight="true" outlineLevel="0" collapsed="false">
      <c r="A16" s="16" t="n">
        <v>15</v>
      </c>
      <c r="B16" s="25" t="s">
        <v>23</v>
      </c>
      <c r="C16" s="18" t="s">
        <v>105</v>
      </c>
      <c r="D16" s="19" t="s">
        <v>106</v>
      </c>
      <c r="E16" s="20" t="s">
        <v>107</v>
      </c>
      <c r="F16" s="20" t="s">
        <v>108</v>
      </c>
      <c r="G16" s="16" t="s">
        <v>56</v>
      </c>
    </row>
    <row r="17" customFormat="false" ht="60" hidden="false" customHeight="true" outlineLevel="0" collapsed="false">
      <c r="A17" s="21" t="n">
        <v>16</v>
      </c>
      <c r="B17" s="25" t="s">
        <v>23</v>
      </c>
      <c r="C17" s="22" t="s">
        <v>109</v>
      </c>
      <c r="D17" s="23" t="s">
        <v>110</v>
      </c>
      <c r="E17" s="24" t="s">
        <v>111</v>
      </c>
      <c r="F17" s="24" t="s">
        <v>112</v>
      </c>
      <c r="G17" s="21" t="s">
        <v>56</v>
      </c>
    </row>
    <row r="18" customFormat="false" ht="60" hidden="false" customHeight="true" outlineLevel="0" collapsed="false">
      <c r="A18" s="16" t="n">
        <v>17</v>
      </c>
      <c r="B18" s="25" t="s">
        <v>23</v>
      </c>
      <c r="C18" s="18" t="s">
        <v>113</v>
      </c>
      <c r="D18" s="19" t="s">
        <v>114</v>
      </c>
      <c r="E18" s="20" t="s">
        <v>115</v>
      </c>
      <c r="F18" s="20" t="s">
        <v>116</v>
      </c>
      <c r="G18" s="16" t="s">
        <v>51</v>
      </c>
    </row>
    <row r="19" customFormat="false" ht="60" hidden="false" customHeight="true" outlineLevel="0" collapsed="false">
      <c r="A19" s="21" t="n">
        <v>18</v>
      </c>
      <c r="B19" s="25" t="s">
        <v>23</v>
      </c>
      <c r="C19" s="22" t="s">
        <v>117</v>
      </c>
      <c r="D19" s="23" t="s">
        <v>118</v>
      </c>
      <c r="E19" s="24" t="s">
        <v>119</v>
      </c>
      <c r="F19" s="24" t="s">
        <v>120</v>
      </c>
      <c r="G19" s="21" t="s">
        <v>51</v>
      </c>
    </row>
    <row r="20" customFormat="false" ht="60" hidden="false" customHeight="true" outlineLevel="0" collapsed="false">
      <c r="A20" s="16" t="n">
        <v>19</v>
      </c>
      <c r="B20" s="26" t="s">
        <v>25</v>
      </c>
      <c r="C20" s="18" t="s">
        <v>121</v>
      </c>
      <c r="D20" s="19" t="s">
        <v>122</v>
      </c>
      <c r="E20" s="20" t="s">
        <v>123</v>
      </c>
      <c r="F20" s="20" t="s">
        <v>124</v>
      </c>
      <c r="G20" s="16" t="s">
        <v>125</v>
      </c>
    </row>
    <row r="21" customFormat="false" ht="60" hidden="false" customHeight="true" outlineLevel="0" collapsed="false">
      <c r="A21" s="21" t="n">
        <v>20</v>
      </c>
      <c r="B21" s="26" t="s">
        <v>25</v>
      </c>
      <c r="C21" s="22" t="s">
        <v>126</v>
      </c>
      <c r="D21" s="23" t="s">
        <v>127</v>
      </c>
      <c r="E21" s="24" t="s">
        <v>128</v>
      </c>
      <c r="F21" s="24" t="s">
        <v>129</v>
      </c>
      <c r="G21" s="21" t="s">
        <v>51</v>
      </c>
    </row>
    <row r="22" customFormat="false" ht="60" hidden="false" customHeight="true" outlineLevel="0" collapsed="false">
      <c r="A22" s="16" t="n">
        <v>21</v>
      </c>
      <c r="B22" s="26" t="s">
        <v>25</v>
      </c>
      <c r="C22" s="18" t="s">
        <v>130</v>
      </c>
      <c r="D22" s="19" t="s">
        <v>131</v>
      </c>
      <c r="E22" s="20" t="s">
        <v>132</v>
      </c>
      <c r="F22" s="20" t="s">
        <v>133</v>
      </c>
      <c r="G22" s="16" t="s">
        <v>51</v>
      </c>
    </row>
    <row r="23" customFormat="false" ht="60" hidden="false" customHeight="true" outlineLevel="0" collapsed="false">
      <c r="A23" s="21" t="n">
        <v>22</v>
      </c>
      <c r="B23" s="26" t="s">
        <v>25</v>
      </c>
      <c r="C23" s="22" t="s">
        <v>134</v>
      </c>
      <c r="D23" s="23" t="s">
        <v>135</v>
      </c>
      <c r="E23" s="24" t="s">
        <v>136</v>
      </c>
      <c r="F23" s="24" t="s">
        <v>137</v>
      </c>
      <c r="G23" s="21" t="s">
        <v>51</v>
      </c>
    </row>
    <row r="24" customFormat="false" ht="60" hidden="false" customHeight="true" outlineLevel="0" collapsed="false">
      <c r="A24" s="16" t="n">
        <v>23</v>
      </c>
      <c r="B24" s="26" t="s">
        <v>25</v>
      </c>
      <c r="C24" s="18" t="s">
        <v>138</v>
      </c>
      <c r="D24" s="19" t="s">
        <v>139</v>
      </c>
      <c r="E24" s="20" t="s">
        <v>140</v>
      </c>
      <c r="F24" s="20" t="s">
        <v>141</v>
      </c>
      <c r="G24" s="16" t="s">
        <v>51</v>
      </c>
    </row>
    <row r="25" customFormat="false" ht="60" hidden="false" customHeight="true" outlineLevel="0" collapsed="false">
      <c r="A25" s="21" t="n">
        <v>24</v>
      </c>
      <c r="B25" s="27" t="s">
        <v>27</v>
      </c>
      <c r="C25" s="22" t="s">
        <v>142</v>
      </c>
      <c r="D25" s="23" t="s">
        <v>143</v>
      </c>
      <c r="E25" s="24" t="s">
        <v>144</v>
      </c>
      <c r="F25" s="24" t="s">
        <v>145</v>
      </c>
      <c r="G25" s="21" t="s">
        <v>51</v>
      </c>
    </row>
    <row r="26" customFormat="false" ht="60" hidden="false" customHeight="true" outlineLevel="0" collapsed="false">
      <c r="A26" s="16" t="n">
        <v>25</v>
      </c>
      <c r="B26" s="27" t="s">
        <v>27</v>
      </c>
      <c r="C26" s="18" t="s">
        <v>146</v>
      </c>
      <c r="D26" s="19" t="s">
        <v>147</v>
      </c>
      <c r="E26" s="20" t="s">
        <v>148</v>
      </c>
      <c r="F26" s="20" t="s">
        <v>149</v>
      </c>
      <c r="G26" s="16" t="s">
        <v>51</v>
      </c>
    </row>
    <row r="27" customFormat="false" ht="60" hidden="false" customHeight="true" outlineLevel="0" collapsed="false">
      <c r="A27" s="21" t="n">
        <v>26</v>
      </c>
      <c r="B27" s="27" t="s">
        <v>27</v>
      </c>
      <c r="C27" s="22" t="s">
        <v>150</v>
      </c>
      <c r="D27" s="23" t="s">
        <v>151</v>
      </c>
      <c r="E27" s="24" t="s">
        <v>152</v>
      </c>
      <c r="F27" s="24" t="s">
        <v>153</v>
      </c>
      <c r="G27" s="21" t="s">
        <v>56</v>
      </c>
    </row>
    <row r="28" customFormat="false" ht="60" hidden="false" customHeight="true" outlineLevel="0" collapsed="false">
      <c r="A28" s="16" t="n">
        <v>27</v>
      </c>
      <c r="B28" s="27" t="s">
        <v>27</v>
      </c>
      <c r="C28" s="18" t="s">
        <v>154</v>
      </c>
      <c r="D28" s="19" t="s">
        <v>155</v>
      </c>
      <c r="E28" s="20" t="s">
        <v>156</v>
      </c>
      <c r="F28" s="20" t="s">
        <v>157</v>
      </c>
      <c r="G28" s="16" t="s">
        <v>51</v>
      </c>
    </row>
    <row r="29" customFormat="false" ht="60" hidden="false" customHeight="true" outlineLevel="0" collapsed="false">
      <c r="A29" s="21" t="n">
        <v>28</v>
      </c>
      <c r="B29" s="27" t="s">
        <v>27</v>
      </c>
      <c r="C29" s="22" t="s">
        <v>158</v>
      </c>
      <c r="D29" s="23" t="s">
        <v>159</v>
      </c>
      <c r="E29" s="24" t="s">
        <v>160</v>
      </c>
      <c r="F29" s="24" t="s">
        <v>161</v>
      </c>
      <c r="G29" s="21" t="s">
        <v>51</v>
      </c>
    </row>
    <row r="30" customFormat="false" ht="60" hidden="false" customHeight="true" outlineLevel="0" collapsed="false">
      <c r="A30" s="16" t="n">
        <v>29</v>
      </c>
      <c r="B30" s="27" t="s">
        <v>27</v>
      </c>
      <c r="C30" s="18" t="s">
        <v>162</v>
      </c>
      <c r="D30" s="19" t="s">
        <v>163</v>
      </c>
      <c r="E30" s="20" t="s">
        <v>164</v>
      </c>
      <c r="F30" s="20" t="s">
        <v>165</v>
      </c>
      <c r="G30" s="16" t="s">
        <v>56</v>
      </c>
    </row>
    <row r="31" customFormat="false" ht="60" hidden="false" customHeight="true" outlineLevel="0" collapsed="false">
      <c r="A31" s="21" t="n">
        <v>30</v>
      </c>
      <c r="B31" s="27" t="s">
        <v>27</v>
      </c>
      <c r="C31" s="22" t="s">
        <v>166</v>
      </c>
      <c r="D31" s="23" t="s">
        <v>167</v>
      </c>
      <c r="E31" s="24" t="s">
        <v>168</v>
      </c>
      <c r="F31" s="24" t="s">
        <v>169</v>
      </c>
      <c r="G31" s="2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28" t="s">
        <v>170</v>
      </c>
      <c r="B1" s="28"/>
      <c r="C1" s="28"/>
      <c r="D1" s="28"/>
    </row>
    <row r="2" customFormat="false" ht="15" hidden="false" customHeight="false" outlineLevel="0" collapsed="false">
      <c r="A2" s="29" t="s">
        <v>171</v>
      </c>
      <c r="B2" s="29"/>
      <c r="C2" s="29"/>
      <c r="D2" s="29"/>
    </row>
    <row r="4" customFormat="false" ht="15" hidden="false" customHeight="false" outlineLevel="0" collapsed="false">
      <c r="A4" s="30" t="s">
        <v>172</v>
      </c>
      <c r="B4" s="30" t="s">
        <v>173</v>
      </c>
      <c r="C4" s="30" t="s">
        <v>174</v>
      </c>
      <c r="D4" s="30" t="s">
        <v>175</v>
      </c>
    </row>
    <row r="5" customFormat="false" ht="15" hidden="false" customHeight="false" outlineLevel="0" collapsed="false">
      <c r="A5" s="31" t="n">
        <v>1</v>
      </c>
      <c r="B5" s="32" t="s">
        <v>77</v>
      </c>
      <c r="C5" s="33" t="n">
        <v>0.3311</v>
      </c>
      <c r="D5" s="34" t="n">
        <f aca="false">C5/SUM($C$5:$C$34)</f>
        <v>0.331133113311331</v>
      </c>
    </row>
    <row r="6" customFormat="false" ht="15" hidden="false" customHeight="false" outlineLevel="0" collapsed="false">
      <c r="A6" s="31" t="n">
        <v>2</v>
      </c>
      <c r="B6" s="35" t="s">
        <v>101</v>
      </c>
      <c r="C6" s="33" t="n">
        <v>0.2377</v>
      </c>
      <c r="D6" s="34" t="n">
        <f aca="false">C6/SUM($C$5:$C$34)</f>
        <v>0.237723772377238</v>
      </c>
    </row>
    <row r="7" customFormat="false" ht="15" hidden="false" customHeight="false" outlineLevel="0" collapsed="false">
      <c r="A7" s="31" t="n">
        <v>3</v>
      </c>
      <c r="B7" s="36" t="s">
        <v>150</v>
      </c>
      <c r="C7" s="33" t="n">
        <v>0.0728</v>
      </c>
      <c r="D7" s="34" t="n">
        <f aca="false">C7/SUM($C$5:$C$34)</f>
        <v>0.0728072807280728</v>
      </c>
    </row>
    <row r="8" customFormat="false" ht="15" hidden="false" customHeight="false" outlineLevel="0" collapsed="false">
      <c r="A8" s="31" t="n">
        <v>4</v>
      </c>
      <c r="B8" s="32" t="s">
        <v>73</v>
      </c>
      <c r="C8" s="33" t="n">
        <v>0.0651</v>
      </c>
      <c r="D8" s="34" t="n">
        <f aca="false">C8/SUM($C$5:$C$34)</f>
        <v>0.0651065106510651</v>
      </c>
    </row>
    <row r="9" customFormat="false" ht="15" hidden="false" customHeight="false" outlineLevel="0" collapsed="false">
      <c r="A9" s="31" t="n">
        <v>5</v>
      </c>
      <c r="B9" s="35" t="s">
        <v>105</v>
      </c>
      <c r="C9" s="33" t="n">
        <v>0.0427</v>
      </c>
      <c r="D9" s="34" t="n">
        <f aca="false">C9/SUM($C$5:$C$34)</f>
        <v>0.0427042704270427</v>
      </c>
    </row>
    <row r="10" customFormat="false" ht="15" hidden="false" customHeight="false" outlineLevel="0" collapsed="false">
      <c r="A10" s="31" t="n">
        <v>6</v>
      </c>
      <c r="B10" s="32" t="s">
        <v>69</v>
      </c>
      <c r="C10" s="33" t="n">
        <v>0.0387</v>
      </c>
      <c r="D10" s="34" t="n">
        <f aca="false">C10/SUM($C$5:$C$34)</f>
        <v>0.0387038703870387</v>
      </c>
    </row>
    <row r="11" customFormat="false" ht="15" hidden="false" customHeight="false" outlineLevel="0" collapsed="false">
      <c r="A11" s="31" t="n">
        <v>7</v>
      </c>
      <c r="B11" s="35" t="s">
        <v>109</v>
      </c>
      <c r="C11" s="33" t="n">
        <v>0.0195</v>
      </c>
      <c r="D11" s="34" t="n">
        <f aca="false">C11/SUM($C$5:$C$34)</f>
        <v>0.0195019501950195</v>
      </c>
    </row>
    <row r="12" customFormat="false" ht="15" hidden="false" customHeight="false" outlineLevel="0" collapsed="false">
      <c r="A12" s="31" t="n">
        <v>8</v>
      </c>
      <c r="B12" s="35" t="s">
        <v>97</v>
      </c>
      <c r="C12" s="33" t="n">
        <v>0.0189</v>
      </c>
      <c r="D12" s="34" t="n">
        <f aca="false">C12/SUM($C$5:$C$34)</f>
        <v>0.0189018901890189</v>
      </c>
    </row>
    <row r="13" customFormat="false" ht="15" hidden="false" customHeight="false" outlineLevel="0" collapsed="false">
      <c r="A13" s="31" t="n">
        <v>9</v>
      </c>
      <c r="B13" s="36" t="s">
        <v>162</v>
      </c>
      <c r="C13" s="33" t="n">
        <v>0.0188</v>
      </c>
      <c r="D13" s="34" t="n">
        <f aca="false">C13/SUM($C$5:$C$34)</f>
        <v>0.0188018801880188</v>
      </c>
    </row>
    <row r="14" customFormat="false" ht="15" hidden="false" customHeight="false" outlineLevel="0" collapsed="false">
      <c r="A14" s="31" t="n">
        <v>10</v>
      </c>
      <c r="B14" s="32" t="s">
        <v>81</v>
      </c>
      <c r="C14" s="33" t="n">
        <v>0.0173</v>
      </c>
      <c r="D14" s="34" t="n">
        <f aca="false">C14/SUM($C$5:$C$34)</f>
        <v>0.0173017301730173</v>
      </c>
    </row>
    <row r="15" customFormat="false" ht="15" hidden="false" customHeight="false" outlineLevel="0" collapsed="false">
      <c r="A15" s="31" t="n">
        <v>11</v>
      </c>
      <c r="B15" s="36" t="s">
        <v>142</v>
      </c>
      <c r="C15" s="33" t="n">
        <v>0.0155</v>
      </c>
      <c r="D15" s="34" t="n">
        <f aca="false">C15/SUM($C$5:$C$34)</f>
        <v>0.0155015501550155</v>
      </c>
    </row>
    <row r="16" customFormat="false" ht="15" hidden="false" customHeight="false" outlineLevel="0" collapsed="false">
      <c r="A16" s="31" t="n">
        <v>12</v>
      </c>
      <c r="B16" s="36" t="s">
        <v>158</v>
      </c>
      <c r="C16" s="33" t="n">
        <v>0.0142</v>
      </c>
      <c r="D16" s="34" t="n">
        <f aca="false">C16/SUM($C$5:$C$34)</f>
        <v>0.0142014201420142</v>
      </c>
    </row>
    <row r="17" customFormat="false" ht="15" hidden="false" customHeight="false" outlineLevel="0" collapsed="false">
      <c r="A17" s="31" t="n">
        <v>13</v>
      </c>
      <c r="B17" s="32" t="s">
        <v>47</v>
      </c>
      <c r="C17" s="33" t="n">
        <v>0.014</v>
      </c>
      <c r="D17" s="34" t="n">
        <f aca="false">C17/SUM($C$5:$C$34)</f>
        <v>0.014001400140014</v>
      </c>
    </row>
    <row r="18" customFormat="false" ht="15" hidden="false" customHeight="false" outlineLevel="0" collapsed="false">
      <c r="A18" s="31" t="n">
        <v>14</v>
      </c>
      <c r="B18" s="36" t="s">
        <v>146</v>
      </c>
      <c r="C18" s="33" t="n">
        <v>0.0128</v>
      </c>
      <c r="D18" s="34" t="n">
        <f aca="false">C18/SUM($C$5:$C$34)</f>
        <v>0.0128012801280128</v>
      </c>
    </row>
    <row r="19" customFormat="false" ht="15" hidden="false" customHeight="false" outlineLevel="0" collapsed="false">
      <c r="A19" s="31" t="n">
        <v>15</v>
      </c>
      <c r="B19" s="36" t="s">
        <v>154</v>
      </c>
      <c r="C19" s="33" t="n">
        <v>0.0128</v>
      </c>
      <c r="D19" s="34" t="n">
        <f aca="false">C19/SUM($C$5:$C$34)</f>
        <v>0.0128012801280128</v>
      </c>
    </row>
    <row r="20" customFormat="false" ht="15" hidden="false" customHeight="false" outlineLevel="0" collapsed="false">
      <c r="A20" s="31" t="n">
        <v>16</v>
      </c>
      <c r="B20" s="32" t="s">
        <v>52</v>
      </c>
      <c r="C20" s="33" t="n">
        <v>0.0087</v>
      </c>
      <c r="D20" s="34" t="n">
        <f aca="false">C20/SUM($C$5:$C$34)</f>
        <v>0.0087008700870087</v>
      </c>
    </row>
    <row r="21" customFormat="false" ht="15" hidden="false" customHeight="false" outlineLevel="0" collapsed="false">
      <c r="A21" s="31" t="n">
        <v>17</v>
      </c>
      <c r="B21" s="32" t="s">
        <v>93</v>
      </c>
      <c r="C21" s="33" t="n">
        <v>0.0061</v>
      </c>
      <c r="D21" s="34" t="n">
        <f aca="false">C21/SUM($C$5:$C$34)</f>
        <v>0.0061006100610061</v>
      </c>
    </row>
    <row r="22" customFormat="false" ht="15" hidden="false" customHeight="false" outlineLevel="0" collapsed="false">
      <c r="A22" s="31" t="n">
        <v>18</v>
      </c>
      <c r="B22" s="32" t="s">
        <v>61</v>
      </c>
      <c r="C22" s="33" t="n">
        <v>0.0057</v>
      </c>
      <c r="D22" s="34" t="n">
        <f aca="false">C22/SUM($C$5:$C$34)</f>
        <v>0.0057005700570057</v>
      </c>
    </row>
    <row r="23" customFormat="false" ht="15" hidden="false" customHeight="false" outlineLevel="0" collapsed="false">
      <c r="A23" s="31" t="n">
        <v>19</v>
      </c>
      <c r="B23" s="36" t="s">
        <v>166</v>
      </c>
      <c r="C23" s="33" t="n">
        <v>0.0054</v>
      </c>
      <c r="D23" s="34" t="n">
        <f aca="false">C23/SUM($C$5:$C$34)</f>
        <v>0.0054005400540054</v>
      </c>
    </row>
    <row r="24" customFormat="false" ht="15" hidden="false" customHeight="false" outlineLevel="0" collapsed="false">
      <c r="A24" s="31" t="n">
        <v>20</v>
      </c>
      <c r="B24" s="37" t="s">
        <v>121</v>
      </c>
      <c r="C24" s="33" t="n">
        <v>0.0051</v>
      </c>
      <c r="D24" s="34" t="n">
        <f aca="false">C24/SUM($C$5:$C$34)</f>
        <v>0.0051005100510051</v>
      </c>
    </row>
    <row r="25" customFormat="false" ht="15" hidden="false" customHeight="false" outlineLevel="0" collapsed="false">
      <c r="A25" s="31" t="n">
        <v>21</v>
      </c>
      <c r="B25" s="35" t="s">
        <v>113</v>
      </c>
      <c r="C25" s="33" t="n">
        <v>0.0051</v>
      </c>
      <c r="D25" s="34" t="n">
        <f aca="false">C25/SUM($C$5:$C$34)</f>
        <v>0.0051005100510051</v>
      </c>
    </row>
    <row r="26" customFormat="false" ht="15" hidden="false" customHeight="false" outlineLevel="0" collapsed="false">
      <c r="A26" s="31" t="n">
        <v>22</v>
      </c>
      <c r="B26" s="37" t="s">
        <v>134</v>
      </c>
      <c r="C26" s="33" t="n">
        <v>0.005</v>
      </c>
      <c r="D26" s="34" t="n">
        <f aca="false">C26/SUM($C$5:$C$34)</f>
        <v>0.005000500050005</v>
      </c>
    </row>
    <row r="27" customFormat="false" ht="15" hidden="false" customHeight="false" outlineLevel="0" collapsed="false">
      <c r="A27" s="31" t="n">
        <v>23</v>
      </c>
      <c r="B27" s="32" t="s">
        <v>85</v>
      </c>
      <c r="C27" s="33" t="n">
        <v>0.0048</v>
      </c>
      <c r="D27" s="34" t="n">
        <f aca="false">C27/SUM($C$5:$C$34)</f>
        <v>0.0048004800480048</v>
      </c>
    </row>
    <row r="28" customFormat="false" ht="15" hidden="false" customHeight="false" outlineLevel="0" collapsed="false">
      <c r="A28" s="31" t="n">
        <v>24</v>
      </c>
      <c r="B28" s="35" t="s">
        <v>117</v>
      </c>
      <c r="C28" s="33" t="n">
        <v>0.0048</v>
      </c>
      <c r="D28" s="34" t="n">
        <f aca="false">C28/SUM($C$5:$C$34)</f>
        <v>0.0048004800480048</v>
      </c>
    </row>
    <row r="29" customFormat="false" ht="15" hidden="false" customHeight="false" outlineLevel="0" collapsed="false">
      <c r="A29" s="31" t="n">
        <v>25</v>
      </c>
      <c r="B29" s="32" t="s">
        <v>57</v>
      </c>
      <c r="C29" s="33" t="n">
        <v>0.0047</v>
      </c>
      <c r="D29" s="34" t="n">
        <f aca="false">C29/SUM($C$5:$C$34)</f>
        <v>0.0047004700470047</v>
      </c>
    </row>
    <row r="30" customFormat="false" ht="15" hidden="false" customHeight="false" outlineLevel="0" collapsed="false">
      <c r="A30" s="31" t="n">
        <v>26</v>
      </c>
      <c r="B30" s="37" t="s">
        <v>126</v>
      </c>
      <c r="C30" s="33" t="n">
        <v>0.0033</v>
      </c>
      <c r="D30" s="34" t="n">
        <f aca="false">C30/SUM($C$5:$C$34)</f>
        <v>0.0033003300330033</v>
      </c>
    </row>
    <row r="31" customFormat="false" ht="15" hidden="false" customHeight="false" outlineLevel="0" collapsed="false">
      <c r="A31" s="31" t="n">
        <v>27</v>
      </c>
      <c r="B31" s="32" t="s">
        <v>65</v>
      </c>
      <c r="C31" s="33" t="n">
        <v>0.0033</v>
      </c>
      <c r="D31" s="34" t="n">
        <f aca="false">C31/SUM($C$5:$C$34)</f>
        <v>0.0033003300330033</v>
      </c>
    </row>
    <row r="32" customFormat="false" ht="15" hidden="false" customHeight="false" outlineLevel="0" collapsed="false">
      <c r="A32" s="31" t="n">
        <v>28</v>
      </c>
      <c r="B32" s="32" t="s">
        <v>89</v>
      </c>
      <c r="C32" s="33" t="n">
        <v>0.0026</v>
      </c>
      <c r="D32" s="34" t="n">
        <f aca="false">C32/SUM($C$5:$C$34)</f>
        <v>0.0026002600260026</v>
      </c>
    </row>
    <row r="33" customFormat="false" ht="15" hidden="false" customHeight="false" outlineLevel="0" collapsed="false">
      <c r="A33" s="31" t="n">
        <v>29</v>
      </c>
      <c r="B33" s="37" t="s">
        <v>138</v>
      </c>
      <c r="C33" s="33" t="n">
        <v>0.0021</v>
      </c>
      <c r="D33" s="34" t="n">
        <f aca="false">C33/SUM($C$5:$C$34)</f>
        <v>0.0021002100210021</v>
      </c>
    </row>
    <row r="34" customFormat="false" ht="15" hidden="false" customHeight="false" outlineLevel="0" collapsed="false">
      <c r="A34" s="31" t="n">
        <v>30</v>
      </c>
      <c r="B34" s="37" t="s">
        <v>130</v>
      </c>
      <c r="C34" s="33" t="n">
        <v>0.0013</v>
      </c>
      <c r="D34" s="34" t="n">
        <f aca="false">C34/SUM($C$5:$C$34)</f>
        <v>0.0013001300130013</v>
      </c>
    </row>
    <row r="35" customFormat="false" ht="15" hidden="false" customHeight="false" outlineLevel="0" collapsed="false">
      <c r="A35" s="38"/>
      <c r="B35" s="39" t="s">
        <v>176</v>
      </c>
      <c r="C35" s="40" t="n">
        <f aca="false">SUM(C5:C34)</f>
        <v>0.9999</v>
      </c>
      <c r="D35" s="41" t="n">
        <f aca="false">SUM(D5:D34)</f>
        <v>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28" t="s">
        <v>177</v>
      </c>
      <c r="B1" s="28"/>
      <c r="C1" s="28"/>
      <c r="D1" s="28"/>
      <c r="E1" s="28"/>
      <c r="F1" s="28"/>
      <c r="G1" s="28"/>
    </row>
    <row r="2" customFormat="false" ht="15" hidden="false" customHeight="false" outlineLevel="0" collapsed="false">
      <c r="A2" s="29" t="s">
        <v>178</v>
      </c>
      <c r="B2" s="29"/>
      <c r="C2" s="29"/>
      <c r="D2" s="29"/>
      <c r="E2" s="29"/>
      <c r="F2" s="29"/>
      <c r="G2" s="29"/>
    </row>
    <row r="4" customFormat="false" ht="15" hidden="false" customHeight="false" outlineLevel="0" collapsed="false">
      <c r="A4" s="30" t="s">
        <v>173</v>
      </c>
      <c r="B4" s="30" t="s">
        <v>30</v>
      </c>
      <c r="C4" s="30" t="s">
        <v>31</v>
      </c>
      <c r="D4" s="30" t="s">
        <v>179</v>
      </c>
      <c r="E4" s="30" t="s">
        <v>180</v>
      </c>
      <c r="F4" s="30" t="s">
        <v>181</v>
      </c>
      <c r="G4" s="30" t="s">
        <v>182</v>
      </c>
    </row>
    <row r="5" customFormat="false" ht="15" hidden="false" customHeight="false" outlineLevel="0" collapsed="false">
      <c r="A5" s="32" t="s">
        <v>47</v>
      </c>
      <c r="B5" s="42" t="n">
        <v>-1</v>
      </c>
      <c r="C5" s="43" t="s">
        <v>183</v>
      </c>
      <c r="D5" s="43" t="n">
        <v>3793</v>
      </c>
      <c r="E5" s="43" t="n">
        <v>1926</v>
      </c>
      <c r="F5" s="43" t="n">
        <v>1867</v>
      </c>
      <c r="G5" s="44" t="n">
        <f aca="false">E5/D5</f>
        <v>0.507777484840496</v>
      </c>
    </row>
    <row r="6" customFormat="false" ht="15" hidden="false" customHeight="false" outlineLevel="0" collapsed="false">
      <c r="A6" s="45"/>
      <c r="B6" s="46" t="n">
        <v>1</v>
      </c>
      <c r="C6" s="43" t="s">
        <v>184</v>
      </c>
      <c r="D6" s="43" t="n">
        <v>7262</v>
      </c>
      <c r="E6" s="43" t="n">
        <v>2972</v>
      </c>
      <c r="F6" s="43" t="n">
        <v>4290</v>
      </c>
      <c r="G6" s="44" t="n">
        <f aca="false">E6/D6</f>
        <v>0.40925364913247</v>
      </c>
    </row>
    <row r="7" customFormat="false" ht="15" hidden="false" customHeight="false" outlineLevel="0" collapsed="false">
      <c r="A7" s="32" t="s">
        <v>52</v>
      </c>
      <c r="B7" s="42" t="n">
        <v>-1</v>
      </c>
      <c r="C7" s="43" t="s">
        <v>183</v>
      </c>
      <c r="D7" s="43" t="n">
        <v>8960</v>
      </c>
      <c r="E7" s="43" t="n">
        <v>4079</v>
      </c>
      <c r="F7" s="43" t="n">
        <v>4881</v>
      </c>
      <c r="G7" s="44" t="n">
        <f aca="false">E7/D7</f>
        <v>0.455245535714286</v>
      </c>
    </row>
    <row r="8" customFormat="false" ht="15" hidden="false" customHeight="false" outlineLevel="0" collapsed="false">
      <c r="A8" s="45"/>
      <c r="B8" s="47" t="n">
        <v>0</v>
      </c>
      <c r="C8" s="43" t="s">
        <v>185</v>
      </c>
      <c r="D8" s="43" t="n">
        <v>135</v>
      </c>
      <c r="E8" s="43" t="n">
        <v>83</v>
      </c>
      <c r="F8" s="43" t="n">
        <v>52</v>
      </c>
      <c r="G8" s="44" t="n">
        <f aca="false">E8/D8</f>
        <v>0.614814814814815</v>
      </c>
    </row>
    <row r="9" customFormat="false" ht="15" hidden="false" customHeight="false" outlineLevel="0" collapsed="false">
      <c r="A9" s="45"/>
      <c r="B9" s="46" t="n">
        <v>1</v>
      </c>
      <c r="C9" s="43" t="s">
        <v>184</v>
      </c>
      <c r="D9" s="43" t="n">
        <v>1960</v>
      </c>
      <c r="E9" s="43" t="n">
        <v>736</v>
      </c>
      <c r="F9" s="43" t="n">
        <v>1224</v>
      </c>
      <c r="G9" s="44" t="n">
        <f aca="false">E9/D9</f>
        <v>0.375510204081633</v>
      </c>
    </row>
    <row r="10" customFormat="false" ht="15" hidden="false" customHeight="false" outlineLevel="0" collapsed="false">
      <c r="A10" s="32" t="s">
        <v>57</v>
      </c>
      <c r="B10" s="42" t="n">
        <v>-1</v>
      </c>
      <c r="C10" s="43" t="s">
        <v>183</v>
      </c>
      <c r="D10" s="43" t="n">
        <v>1444</v>
      </c>
      <c r="E10" s="43" t="n">
        <v>514</v>
      </c>
      <c r="F10" s="43" t="n">
        <v>930</v>
      </c>
      <c r="G10" s="44" t="n">
        <f aca="false">E10/D10</f>
        <v>0.35595567867036</v>
      </c>
    </row>
    <row r="11" customFormat="false" ht="15" hidden="false" customHeight="false" outlineLevel="0" collapsed="false">
      <c r="A11" s="45"/>
      <c r="B11" s="46" t="n">
        <v>1</v>
      </c>
      <c r="C11" s="43" t="s">
        <v>184</v>
      </c>
      <c r="D11" s="43" t="n">
        <v>9611</v>
      </c>
      <c r="E11" s="43" t="n">
        <v>4384</v>
      </c>
      <c r="F11" s="43" t="n">
        <v>5227</v>
      </c>
      <c r="G11" s="44" t="n">
        <f aca="false">E11/D11</f>
        <v>0.456144001664759</v>
      </c>
    </row>
    <row r="12" customFormat="false" ht="15" hidden="false" customHeight="false" outlineLevel="0" collapsed="false">
      <c r="A12" s="32" t="s">
        <v>61</v>
      </c>
      <c r="B12" s="42" t="n">
        <v>-1</v>
      </c>
      <c r="C12" s="43" t="s">
        <v>183</v>
      </c>
      <c r="D12" s="43" t="n">
        <v>1655</v>
      </c>
      <c r="E12" s="43" t="n">
        <v>837</v>
      </c>
      <c r="F12" s="43" t="n">
        <v>818</v>
      </c>
      <c r="G12" s="44" t="n">
        <f aca="false">E12/D12</f>
        <v>0.505740181268882</v>
      </c>
    </row>
    <row r="13" customFormat="false" ht="15" hidden="false" customHeight="false" outlineLevel="0" collapsed="false">
      <c r="A13" s="45"/>
      <c r="B13" s="46" t="n">
        <v>1</v>
      </c>
      <c r="C13" s="43" t="s">
        <v>184</v>
      </c>
      <c r="D13" s="43" t="n">
        <v>9400</v>
      </c>
      <c r="E13" s="43" t="n">
        <v>4061</v>
      </c>
      <c r="F13" s="43" t="n">
        <v>5339</v>
      </c>
      <c r="G13" s="44" t="n">
        <f aca="false">E13/D13</f>
        <v>0.432021276595745</v>
      </c>
    </row>
    <row r="14" customFormat="false" ht="15" hidden="false" customHeight="false" outlineLevel="0" collapsed="false">
      <c r="A14" s="32" t="s">
        <v>65</v>
      </c>
      <c r="B14" s="42" t="n">
        <v>-1</v>
      </c>
      <c r="C14" s="43" t="s">
        <v>183</v>
      </c>
      <c r="D14" s="43" t="n">
        <v>1429</v>
      </c>
      <c r="E14" s="43" t="n">
        <v>562</v>
      </c>
      <c r="F14" s="43" t="n">
        <v>867</v>
      </c>
      <c r="G14" s="44" t="n">
        <f aca="false">E14/D14</f>
        <v>0.393282015395381</v>
      </c>
    </row>
    <row r="15" customFormat="false" ht="15" hidden="false" customHeight="false" outlineLevel="0" collapsed="false">
      <c r="A15" s="45"/>
      <c r="B15" s="46" t="n">
        <v>1</v>
      </c>
      <c r="C15" s="43" t="s">
        <v>184</v>
      </c>
      <c r="D15" s="43" t="n">
        <v>9626</v>
      </c>
      <c r="E15" s="43" t="n">
        <v>4336</v>
      </c>
      <c r="F15" s="43" t="n">
        <v>5290</v>
      </c>
      <c r="G15" s="44" t="n">
        <f aca="false">E15/D15</f>
        <v>0.450446706835653</v>
      </c>
    </row>
    <row r="16" customFormat="false" ht="15" hidden="false" customHeight="false" outlineLevel="0" collapsed="false">
      <c r="A16" s="32" t="s">
        <v>69</v>
      </c>
      <c r="B16" s="42" t="n">
        <v>-1</v>
      </c>
      <c r="C16" s="43" t="s">
        <v>183</v>
      </c>
      <c r="D16" s="43" t="n">
        <v>9590</v>
      </c>
      <c r="E16" s="43" t="n">
        <v>4898</v>
      </c>
      <c r="F16" s="43" t="n">
        <v>4692</v>
      </c>
      <c r="G16" s="44" t="n">
        <f aca="false">E16/D16</f>
        <v>0.510740354535975</v>
      </c>
    </row>
    <row r="17" customFormat="false" ht="15" hidden="false" customHeight="false" outlineLevel="0" collapsed="false">
      <c r="A17" s="45"/>
      <c r="B17" s="46" t="n">
        <v>1</v>
      </c>
      <c r="C17" s="43" t="s">
        <v>184</v>
      </c>
      <c r="D17" s="43" t="n">
        <v>1465</v>
      </c>
      <c r="E17" s="43" t="n">
        <v>0</v>
      </c>
      <c r="F17" s="43" t="n">
        <v>1465</v>
      </c>
      <c r="G17" s="44" t="n">
        <f aca="false">E17/D17</f>
        <v>0</v>
      </c>
    </row>
    <row r="18" customFormat="false" ht="15" hidden="false" customHeight="false" outlineLevel="0" collapsed="false">
      <c r="A18" s="32" t="s">
        <v>73</v>
      </c>
      <c r="B18" s="42" t="n">
        <v>-1</v>
      </c>
      <c r="C18" s="43" t="s">
        <v>183</v>
      </c>
      <c r="D18" s="43" t="n">
        <v>3363</v>
      </c>
      <c r="E18" s="43" t="n">
        <v>1836</v>
      </c>
      <c r="F18" s="43" t="n">
        <v>1527</v>
      </c>
      <c r="G18" s="44" t="n">
        <f aca="false">E18/D18</f>
        <v>0.545941123996432</v>
      </c>
    </row>
    <row r="19" customFormat="false" ht="15" hidden="false" customHeight="false" outlineLevel="0" collapsed="false">
      <c r="A19" s="45"/>
      <c r="B19" s="47" t="n">
        <v>0</v>
      </c>
      <c r="C19" s="43" t="s">
        <v>185</v>
      </c>
      <c r="D19" s="43" t="n">
        <v>3622</v>
      </c>
      <c r="E19" s="43" t="n">
        <v>2252</v>
      </c>
      <c r="F19" s="43" t="n">
        <v>1370</v>
      </c>
      <c r="G19" s="44" t="n">
        <f aca="false">E19/D19</f>
        <v>0.621755935946991</v>
      </c>
    </row>
    <row r="20" customFormat="false" ht="15" hidden="false" customHeight="false" outlineLevel="0" collapsed="false">
      <c r="A20" s="45"/>
      <c r="B20" s="46" t="n">
        <v>1</v>
      </c>
      <c r="C20" s="43" t="s">
        <v>184</v>
      </c>
      <c r="D20" s="43" t="n">
        <v>4070</v>
      </c>
      <c r="E20" s="43" t="n">
        <v>810</v>
      </c>
      <c r="F20" s="43" t="n">
        <v>3260</v>
      </c>
      <c r="G20" s="44" t="n">
        <f aca="false">E20/D20</f>
        <v>0.199017199017199</v>
      </c>
    </row>
    <row r="21" customFormat="false" ht="15" hidden="false" customHeight="false" outlineLevel="0" collapsed="false">
      <c r="A21" s="32" t="s">
        <v>77</v>
      </c>
      <c r="B21" s="42" t="n">
        <v>-1</v>
      </c>
      <c r="C21" s="43" t="s">
        <v>183</v>
      </c>
      <c r="D21" s="43" t="n">
        <v>3557</v>
      </c>
      <c r="E21" s="43" t="n">
        <v>3051</v>
      </c>
      <c r="F21" s="43" t="n">
        <v>506</v>
      </c>
      <c r="G21" s="44" t="n">
        <f aca="false">E21/D21</f>
        <v>0.857745290975541</v>
      </c>
    </row>
    <row r="22" customFormat="false" ht="15" hidden="false" customHeight="false" outlineLevel="0" collapsed="false">
      <c r="A22" s="45"/>
      <c r="B22" s="47" t="n">
        <v>0</v>
      </c>
      <c r="C22" s="43" t="s">
        <v>185</v>
      </c>
      <c r="D22" s="43" t="n">
        <v>1167</v>
      </c>
      <c r="E22" s="43" t="n">
        <v>1146</v>
      </c>
      <c r="F22" s="43" t="n">
        <v>21</v>
      </c>
      <c r="G22" s="44" t="n">
        <f aca="false">E22/D22</f>
        <v>0.982005141388175</v>
      </c>
    </row>
    <row r="23" customFormat="false" ht="15" hidden="false" customHeight="false" outlineLevel="0" collapsed="false">
      <c r="A23" s="45"/>
      <c r="B23" s="46" t="n">
        <v>1</v>
      </c>
      <c r="C23" s="43" t="s">
        <v>184</v>
      </c>
      <c r="D23" s="43" t="n">
        <v>6331</v>
      </c>
      <c r="E23" s="43" t="n">
        <v>701</v>
      </c>
      <c r="F23" s="43" t="n">
        <v>5630</v>
      </c>
      <c r="G23" s="44" t="n">
        <f aca="false">E23/D23</f>
        <v>0.110725003948823</v>
      </c>
    </row>
    <row r="24" customFormat="false" ht="15" hidden="false" customHeight="false" outlineLevel="0" collapsed="false">
      <c r="A24" s="32" t="s">
        <v>81</v>
      </c>
      <c r="B24" s="42" t="n">
        <v>-1</v>
      </c>
      <c r="C24" s="43" t="s">
        <v>183</v>
      </c>
      <c r="D24" s="43" t="n">
        <v>7389</v>
      </c>
      <c r="E24" s="43" t="n">
        <v>2690</v>
      </c>
      <c r="F24" s="43" t="n">
        <v>4699</v>
      </c>
      <c r="G24" s="44" t="n">
        <f aca="false">E24/D24</f>
        <v>0.364054675869536</v>
      </c>
    </row>
    <row r="25" customFormat="false" ht="15" hidden="false" customHeight="false" outlineLevel="0" collapsed="false">
      <c r="A25" s="45"/>
      <c r="B25" s="46" t="n">
        <v>1</v>
      </c>
      <c r="C25" s="43" t="s">
        <v>184</v>
      </c>
      <c r="D25" s="43" t="n">
        <v>3666</v>
      </c>
      <c r="E25" s="43" t="n">
        <v>2208</v>
      </c>
      <c r="F25" s="43" t="n">
        <v>1458</v>
      </c>
      <c r="G25" s="44" t="n">
        <f aca="false">E25/D25</f>
        <v>0.602291325695581</v>
      </c>
    </row>
    <row r="26" customFormat="false" ht="15" hidden="false" customHeight="false" outlineLevel="0" collapsed="false">
      <c r="A26" s="32" t="s">
        <v>85</v>
      </c>
      <c r="B26" s="42" t="n">
        <v>-1</v>
      </c>
      <c r="C26" s="43" t="s">
        <v>183</v>
      </c>
      <c r="D26" s="43" t="n">
        <v>2053</v>
      </c>
      <c r="E26" s="43" t="n">
        <v>909</v>
      </c>
      <c r="F26" s="43" t="n">
        <v>1144</v>
      </c>
      <c r="G26" s="44" t="n">
        <f aca="false">E26/D26</f>
        <v>0.442766682903069</v>
      </c>
    </row>
    <row r="27" customFormat="false" ht="15" hidden="false" customHeight="false" outlineLevel="0" collapsed="false">
      <c r="A27" s="45"/>
      <c r="B27" s="46" t="n">
        <v>1</v>
      </c>
      <c r="C27" s="43" t="s">
        <v>184</v>
      </c>
      <c r="D27" s="43" t="n">
        <v>9002</v>
      </c>
      <c r="E27" s="43" t="n">
        <v>3989</v>
      </c>
      <c r="F27" s="43" t="n">
        <v>5013</v>
      </c>
      <c r="G27" s="44" t="n">
        <f aca="false">E27/D27</f>
        <v>0.443123750277716</v>
      </c>
    </row>
    <row r="28" customFormat="false" ht="15" hidden="false" customHeight="false" outlineLevel="0" collapsed="false">
      <c r="A28" s="32" t="s">
        <v>89</v>
      </c>
      <c r="B28" s="42" t="n">
        <v>-1</v>
      </c>
      <c r="C28" s="43" t="s">
        <v>183</v>
      </c>
      <c r="D28" s="43" t="n">
        <v>1502</v>
      </c>
      <c r="E28" s="43" t="n">
        <v>734</v>
      </c>
      <c r="F28" s="43" t="n">
        <v>768</v>
      </c>
      <c r="G28" s="44" t="n">
        <f aca="false">E28/D28</f>
        <v>0.488681757656458</v>
      </c>
    </row>
    <row r="29" customFormat="false" ht="15" hidden="false" customHeight="false" outlineLevel="0" collapsed="false">
      <c r="A29" s="45"/>
      <c r="B29" s="46" t="n">
        <v>1</v>
      </c>
      <c r="C29" s="43" t="s">
        <v>184</v>
      </c>
      <c r="D29" s="43" t="n">
        <v>9553</v>
      </c>
      <c r="E29" s="43" t="n">
        <v>4164</v>
      </c>
      <c r="F29" s="43" t="n">
        <v>5389</v>
      </c>
      <c r="G29" s="44" t="n">
        <f aca="false">E29/D29</f>
        <v>0.435884015492515</v>
      </c>
    </row>
    <row r="30" customFormat="false" ht="15" hidden="false" customHeight="false" outlineLevel="0" collapsed="false">
      <c r="A30" s="32" t="s">
        <v>93</v>
      </c>
      <c r="B30" s="42" t="n">
        <v>-1</v>
      </c>
      <c r="C30" s="43" t="s">
        <v>183</v>
      </c>
      <c r="D30" s="43" t="n">
        <v>1796</v>
      </c>
      <c r="E30" s="43" t="n">
        <v>715</v>
      </c>
      <c r="F30" s="43" t="n">
        <v>1081</v>
      </c>
      <c r="G30" s="44" t="n">
        <f aca="false">E30/D30</f>
        <v>0.398106904231626</v>
      </c>
    </row>
    <row r="31" customFormat="false" ht="15" hidden="false" customHeight="false" outlineLevel="0" collapsed="false">
      <c r="A31" s="45"/>
      <c r="B31" s="46" t="n">
        <v>1</v>
      </c>
      <c r="C31" s="43" t="s">
        <v>184</v>
      </c>
      <c r="D31" s="43" t="n">
        <v>9259</v>
      </c>
      <c r="E31" s="43" t="n">
        <v>4183</v>
      </c>
      <c r="F31" s="43" t="n">
        <v>5076</v>
      </c>
      <c r="G31" s="44" t="n">
        <f aca="false">E31/D31</f>
        <v>0.451776649746193</v>
      </c>
    </row>
    <row r="32" customFormat="false" ht="15" hidden="false" customHeight="false" outlineLevel="0" collapsed="false">
      <c r="A32" s="35" t="s">
        <v>97</v>
      </c>
      <c r="B32" s="42" t="n">
        <v>-1</v>
      </c>
      <c r="C32" s="43" t="s">
        <v>183</v>
      </c>
      <c r="D32" s="43" t="n">
        <v>4495</v>
      </c>
      <c r="E32" s="43" t="n">
        <v>2675</v>
      </c>
      <c r="F32" s="43" t="n">
        <v>1820</v>
      </c>
      <c r="G32" s="44" t="n">
        <f aca="false">E32/D32</f>
        <v>0.595105672969967</v>
      </c>
    </row>
    <row r="33" customFormat="false" ht="15" hidden="false" customHeight="false" outlineLevel="0" collapsed="false">
      <c r="A33" s="45"/>
      <c r="B33" s="46" t="n">
        <v>1</v>
      </c>
      <c r="C33" s="43" t="s">
        <v>184</v>
      </c>
      <c r="D33" s="43" t="n">
        <v>6560</v>
      </c>
      <c r="E33" s="43" t="n">
        <v>2223</v>
      </c>
      <c r="F33" s="43" t="n">
        <v>4337</v>
      </c>
      <c r="G33" s="44" t="n">
        <f aca="false">E33/D33</f>
        <v>0.338871951219512</v>
      </c>
    </row>
    <row r="34" customFormat="false" ht="15" hidden="false" customHeight="false" outlineLevel="0" collapsed="false">
      <c r="A34" s="35" t="s">
        <v>101</v>
      </c>
      <c r="B34" s="42" t="n">
        <v>-1</v>
      </c>
      <c r="C34" s="43" t="s">
        <v>183</v>
      </c>
      <c r="D34" s="43" t="n">
        <v>3282</v>
      </c>
      <c r="E34" s="43" t="n">
        <v>3246</v>
      </c>
      <c r="F34" s="43" t="n">
        <v>36</v>
      </c>
      <c r="G34" s="44" t="n">
        <f aca="false">E34/D34</f>
        <v>0.989031078610603</v>
      </c>
    </row>
    <row r="35" customFormat="false" ht="15" hidden="false" customHeight="false" outlineLevel="0" collapsed="false">
      <c r="A35" s="45"/>
      <c r="B35" s="47" t="n">
        <v>0</v>
      </c>
      <c r="C35" s="43" t="s">
        <v>185</v>
      </c>
      <c r="D35" s="43" t="n">
        <v>5337</v>
      </c>
      <c r="E35" s="43" t="n">
        <v>1502</v>
      </c>
      <c r="F35" s="43" t="n">
        <v>3835</v>
      </c>
      <c r="G35" s="44" t="n">
        <f aca="false">E35/D35</f>
        <v>0.281431515832865</v>
      </c>
    </row>
    <row r="36" customFormat="false" ht="15" hidden="false" customHeight="false" outlineLevel="0" collapsed="false">
      <c r="A36" s="45"/>
      <c r="B36" s="46" t="n">
        <v>1</v>
      </c>
      <c r="C36" s="43" t="s">
        <v>184</v>
      </c>
      <c r="D36" s="43" t="n">
        <v>2436</v>
      </c>
      <c r="E36" s="43" t="n">
        <v>150</v>
      </c>
      <c r="F36" s="43" t="n">
        <v>2286</v>
      </c>
      <c r="G36" s="44" t="n">
        <f aca="false">E36/D36</f>
        <v>0.061576354679803</v>
      </c>
    </row>
    <row r="37" customFormat="false" ht="15" hidden="false" customHeight="false" outlineLevel="0" collapsed="false">
      <c r="A37" s="35" t="s">
        <v>105</v>
      </c>
      <c r="B37" s="42" t="n">
        <v>-1</v>
      </c>
      <c r="C37" s="43" t="s">
        <v>183</v>
      </c>
      <c r="D37" s="43" t="n">
        <v>3956</v>
      </c>
      <c r="E37" s="43" t="n">
        <v>2387</v>
      </c>
      <c r="F37" s="43" t="n">
        <v>1569</v>
      </c>
      <c r="G37" s="44" t="n">
        <f aca="false">E37/D37</f>
        <v>0.603387259858443</v>
      </c>
    </row>
    <row r="38" customFormat="false" ht="15" hidden="false" customHeight="false" outlineLevel="0" collapsed="false">
      <c r="A38" s="45"/>
      <c r="B38" s="47" t="n">
        <v>0</v>
      </c>
      <c r="C38" s="43" t="s">
        <v>185</v>
      </c>
      <c r="D38" s="43" t="n">
        <v>4449</v>
      </c>
      <c r="E38" s="43" t="n">
        <v>1744</v>
      </c>
      <c r="F38" s="43" t="n">
        <v>2705</v>
      </c>
      <c r="G38" s="44" t="n">
        <f aca="false">E38/D38</f>
        <v>0.391998201843111</v>
      </c>
    </row>
    <row r="39" customFormat="false" ht="15" hidden="false" customHeight="false" outlineLevel="0" collapsed="false">
      <c r="A39" s="45"/>
      <c r="B39" s="46" t="n">
        <v>1</v>
      </c>
      <c r="C39" s="43" t="s">
        <v>184</v>
      </c>
      <c r="D39" s="43" t="n">
        <v>2650</v>
      </c>
      <c r="E39" s="43" t="n">
        <v>767</v>
      </c>
      <c r="F39" s="43" t="n">
        <v>1883</v>
      </c>
      <c r="G39" s="44" t="n">
        <f aca="false">E39/D39</f>
        <v>0.289433962264151</v>
      </c>
    </row>
    <row r="40" customFormat="false" ht="15" hidden="false" customHeight="false" outlineLevel="0" collapsed="false">
      <c r="A40" s="35" t="s">
        <v>109</v>
      </c>
      <c r="B40" s="42" t="n">
        <v>-1</v>
      </c>
      <c r="C40" s="43" t="s">
        <v>183</v>
      </c>
      <c r="D40" s="43" t="n">
        <v>8440</v>
      </c>
      <c r="E40" s="43" t="n">
        <v>4238</v>
      </c>
      <c r="F40" s="43" t="n">
        <v>4202</v>
      </c>
      <c r="G40" s="44" t="n">
        <f aca="false">E40/D40</f>
        <v>0.502132701421801</v>
      </c>
    </row>
    <row r="41" customFormat="false" ht="15" hidden="false" customHeight="false" outlineLevel="0" collapsed="false">
      <c r="A41" s="45"/>
      <c r="B41" s="47" t="n">
        <v>0</v>
      </c>
      <c r="C41" s="43" t="s">
        <v>185</v>
      </c>
      <c r="D41" s="43" t="n">
        <v>761</v>
      </c>
      <c r="E41" s="43" t="n">
        <v>263</v>
      </c>
      <c r="F41" s="43" t="n">
        <v>498</v>
      </c>
      <c r="G41" s="44" t="n">
        <f aca="false">E41/D41</f>
        <v>0.345597897503285</v>
      </c>
    </row>
    <row r="42" customFormat="false" ht="15" hidden="false" customHeight="false" outlineLevel="0" collapsed="false">
      <c r="A42" s="45"/>
      <c r="B42" s="46" t="n">
        <v>1</v>
      </c>
      <c r="C42" s="43" t="s">
        <v>184</v>
      </c>
      <c r="D42" s="43" t="n">
        <v>1854</v>
      </c>
      <c r="E42" s="43" t="n">
        <v>397</v>
      </c>
      <c r="F42" s="43" t="n">
        <v>1457</v>
      </c>
      <c r="G42" s="44" t="n">
        <f aca="false">E42/D42</f>
        <v>0.214131607335491</v>
      </c>
    </row>
    <row r="43" customFormat="false" ht="15" hidden="false" customHeight="false" outlineLevel="0" collapsed="false">
      <c r="A43" s="35" t="s">
        <v>113</v>
      </c>
      <c r="B43" s="42" t="n">
        <v>-1</v>
      </c>
      <c r="C43" s="43" t="s">
        <v>183</v>
      </c>
      <c r="D43" s="43" t="n">
        <v>2014</v>
      </c>
      <c r="E43" s="43" t="n">
        <v>931</v>
      </c>
      <c r="F43" s="43" t="n">
        <v>1083</v>
      </c>
      <c r="G43" s="44" t="n">
        <f aca="false">E43/D43</f>
        <v>0.462264150943396</v>
      </c>
    </row>
    <row r="44" customFormat="false" ht="15" hidden="false" customHeight="false" outlineLevel="0" collapsed="false">
      <c r="A44" s="45"/>
      <c r="B44" s="46" t="n">
        <v>1</v>
      </c>
      <c r="C44" s="43" t="s">
        <v>184</v>
      </c>
      <c r="D44" s="43" t="n">
        <v>9041</v>
      </c>
      <c r="E44" s="43" t="n">
        <v>3967</v>
      </c>
      <c r="F44" s="43" t="n">
        <v>5074</v>
      </c>
      <c r="G44" s="44" t="n">
        <f aca="false">E44/D44</f>
        <v>0.438778896139808</v>
      </c>
    </row>
    <row r="45" customFormat="false" ht="15" hidden="false" customHeight="false" outlineLevel="0" collapsed="false">
      <c r="A45" s="35" t="s">
        <v>117</v>
      </c>
      <c r="B45" s="42" t="n">
        <v>-1</v>
      </c>
      <c r="C45" s="43" t="s">
        <v>183</v>
      </c>
      <c r="D45" s="43" t="n">
        <v>1629</v>
      </c>
      <c r="E45" s="43" t="n">
        <v>604</v>
      </c>
      <c r="F45" s="43" t="n">
        <v>1025</v>
      </c>
      <c r="G45" s="44" t="n">
        <f aca="false">E45/D45</f>
        <v>0.370779619398404</v>
      </c>
    </row>
    <row r="46" customFormat="false" ht="15" hidden="false" customHeight="false" outlineLevel="0" collapsed="false">
      <c r="A46" s="45"/>
      <c r="B46" s="46" t="n">
        <v>1</v>
      </c>
      <c r="C46" s="43" t="s">
        <v>184</v>
      </c>
      <c r="D46" s="43" t="n">
        <v>9426</v>
      </c>
      <c r="E46" s="43" t="n">
        <v>4294</v>
      </c>
      <c r="F46" s="43" t="n">
        <v>5132</v>
      </c>
      <c r="G46" s="44" t="n">
        <f aca="false">E46/D46</f>
        <v>0.455548482919584</v>
      </c>
    </row>
    <row r="47" customFormat="false" ht="15" hidden="false" customHeight="false" outlineLevel="0" collapsed="false">
      <c r="A47" s="37" t="s">
        <v>121</v>
      </c>
      <c r="B47" s="47" t="n">
        <v>0</v>
      </c>
      <c r="C47" s="43" t="s">
        <v>185</v>
      </c>
      <c r="D47" s="43" t="n">
        <v>9776</v>
      </c>
      <c r="E47" s="43" t="n">
        <v>4296</v>
      </c>
      <c r="F47" s="43" t="n">
        <v>5480</v>
      </c>
      <c r="G47" s="44" t="n">
        <f aca="false">E47/D47</f>
        <v>0.439443535188216</v>
      </c>
    </row>
    <row r="48" customFormat="false" ht="15" hidden="false" customHeight="false" outlineLevel="0" collapsed="false">
      <c r="A48" s="45"/>
      <c r="B48" s="46" t="n">
        <v>1</v>
      </c>
      <c r="C48" s="43" t="s">
        <v>184</v>
      </c>
      <c r="D48" s="43" t="n">
        <v>1279</v>
      </c>
      <c r="E48" s="43" t="n">
        <v>602</v>
      </c>
      <c r="F48" s="43" t="n">
        <v>677</v>
      </c>
      <c r="G48" s="44" t="n">
        <f aca="false">E48/D48</f>
        <v>0.470680218921032</v>
      </c>
    </row>
    <row r="49" customFormat="false" ht="15" hidden="false" customHeight="false" outlineLevel="0" collapsed="false">
      <c r="A49" s="37" t="s">
        <v>126</v>
      </c>
      <c r="B49" s="42" t="n">
        <v>-1</v>
      </c>
      <c r="C49" s="43" t="s">
        <v>183</v>
      </c>
      <c r="D49" s="43" t="n">
        <v>1315</v>
      </c>
      <c r="E49" s="43" t="n">
        <v>657</v>
      </c>
      <c r="F49" s="43" t="n">
        <v>658</v>
      </c>
      <c r="G49" s="44" t="n">
        <f aca="false">E49/D49</f>
        <v>0.499619771863118</v>
      </c>
    </row>
    <row r="50" customFormat="false" ht="15" hidden="false" customHeight="false" outlineLevel="0" collapsed="false">
      <c r="A50" s="45"/>
      <c r="B50" s="46" t="n">
        <v>1</v>
      </c>
      <c r="C50" s="43" t="s">
        <v>184</v>
      </c>
      <c r="D50" s="43" t="n">
        <v>9740</v>
      </c>
      <c r="E50" s="43" t="n">
        <v>4241</v>
      </c>
      <c r="F50" s="43" t="n">
        <v>5499</v>
      </c>
      <c r="G50" s="44" t="n">
        <f aca="false">E50/D50</f>
        <v>0.435420944558522</v>
      </c>
    </row>
    <row r="51" customFormat="false" ht="15" hidden="false" customHeight="false" outlineLevel="0" collapsed="false">
      <c r="A51" s="37" t="s">
        <v>130</v>
      </c>
      <c r="B51" s="42" t="n">
        <v>-1</v>
      </c>
      <c r="C51" s="43" t="s">
        <v>183</v>
      </c>
      <c r="D51" s="43" t="n">
        <v>476</v>
      </c>
      <c r="E51" s="43" t="n">
        <v>225</v>
      </c>
      <c r="F51" s="43" t="n">
        <v>251</v>
      </c>
      <c r="G51" s="44" t="n">
        <f aca="false">E51/D51</f>
        <v>0.472689075630252</v>
      </c>
    </row>
    <row r="52" customFormat="false" ht="15" hidden="false" customHeight="false" outlineLevel="0" collapsed="false">
      <c r="A52" s="45"/>
      <c r="B52" s="46" t="n">
        <v>1</v>
      </c>
      <c r="C52" s="43" t="s">
        <v>184</v>
      </c>
      <c r="D52" s="43" t="n">
        <v>10579</v>
      </c>
      <c r="E52" s="43" t="n">
        <v>4673</v>
      </c>
      <c r="F52" s="43" t="n">
        <v>5906</v>
      </c>
      <c r="G52" s="44" t="n">
        <f aca="false">E52/D52</f>
        <v>0.441724170526515</v>
      </c>
    </row>
    <row r="53" customFormat="false" ht="15" hidden="false" customHeight="false" outlineLevel="0" collapsed="false">
      <c r="A53" s="37" t="s">
        <v>134</v>
      </c>
      <c r="B53" s="42" t="n">
        <v>-1</v>
      </c>
      <c r="C53" s="43" t="s">
        <v>183</v>
      </c>
      <c r="D53" s="43" t="n">
        <v>2137</v>
      </c>
      <c r="E53" s="43" t="n">
        <v>947</v>
      </c>
      <c r="F53" s="43" t="n">
        <v>1190</v>
      </c>
      <c r="G53" s="44" t="n">
        <f aca="false">E53/D53</f>
        <v>0.443144595226954</v>
      </c>
    </row>
    <row r="54" customFormat="false" ht="15" hidden="false" customHeight="false" outlineLevel="0" collapsed="false">
      <c r="A54" s="45"/>
      <c r="B54" s="46" t="n">
        <v>1</v>
      </c>
      <c r="C54" s="43" t="s">
        <v>184</v>
      </c>
      <c r="D54" s="43" t="n">
        <v>8918</v>
      </c>
      <c r="E54" s="43" t="n">
        <v>3951</v>
      </c>
      <c r="F54" s="43" t="n">
        <v>4967</v>
      </c>
      <c r="G54" s="44" t="n">
        <f aca="false">E54/D54</f>
        <v>0.443036555281453</v>
      </c>
    </row>
    <row r="55" customFormat="false" ht="15" hidden="false" customHeight="false" outlineLevel="0" collapsed="false">
      <c r="A55" s="37" t="s">
        <v>138</v>
      </c>
      <c r="B55" s="42" t="n">
        <v>-1</v>
      </c>
      <c r="C55" s="43" t="s">
        <v>183</v>
      </c>
      <c r="D55" s="43" t="n">
        <v>1012</v>
      </c>
      <c r="E55" s="43" t="n">
        <v>443</v>
      </c>
      <c r="F55" s="43" t="n">
        <v>569</v>
      </c>
      <c r="G55" s="44" t="n">
        <f aca="false">E55/D55</f>
        <v>0.437747035573123</v>
      </c>
    </row>
    <row r="56" customFormat="false" ht="15" hidden="false" customHeight="false" outlineLevel="0" collapsed="false">
      <c r="A56" s="45"/>
      <c r="B56" s="46" t="n">
        <v>1</v>
      </c>
      <c r="C56" s="43" t="s">
        <v>184</v>
      </c>
      <c r="D56" s="43" t="n">
        <v>10043</v>
      </c>
      <c r="E56" s="43" t="n">
        <v>4455</v>
      </c>
      <c r="F56" s="43" t="n">
        <v>5588</v>
      </c>
      <c r="G56" s="44" t="n">
        <f aca="false">E56/D56</f>
        <v>0.443592552026287</v>
      </c>
    </row>
    <row r="57" customFormat="false" ht="15" hidden="false" customHeight="false" outlineLevel="0" collapsed="false">
      <c r="A57" s="36" t="s">
        <v>142</v>
      </c>
      <c r="B57" s="42" t="n">
        <v>-1</v>
      </c>
      <c r="C57" s="43" t="s">
        <v>183</v>
      </c>
      <c r="D57" s="43" t="n">
        <v>5189</v>
      </c>
      <c r="E57" s="43" t="n">
        <v>2632</v>
      </c>
      <c r="F57" s="43" t="n">
        <v>2557</v>
      </c>
      <c r="G57" s="44" t="n">
        <f aca="false">E57/D57</f>
        <v>0.507226825978031</v>
      </c>
    </row>
    <row r="58" customFormat="false" ht="15" hidden="false" customHeight="false" outlineLevel="0" collapsed="false">
      <c r="A58" s="45"/>
      <c r="B58" s="46" t="n">
        <v>1</v>
      </c>
      <c r="C58" s="43" t="s">
        <v>184</v>
      </c>
      <c r="D58" s="43" t="n">
        <v>5866</v>
      </c>
      <c r="E58" s="43" t="n">
        <v>2266</v>
      </c>
      <c r="F58" s="43" t="n">
        <v>3600</v>
      </c>
      <c r="G58" s="44" t="n">
        <f aca="false">E58/D58</f>
        <v>0.386293897033754</v>
      </c>
    </row>
    <row r="59" customFormat="false" ht="15" hidden="false" customHeight="false" outlineLevel="0" collapsed="false">
      <c r="A59" s="36" t="s">
        <v>146</v>
      </c>
      <c r="B59" s="42" t="n">
        <v>-1</v>
      </c>
      <c r="C59" s="43" t="s">
        <v>183</v>
      </c>
      <c r="D59" s="43" t="n">
        <v>3443</v>
      </c>
      <c r="E59" s="43" t="n">
        <v>1718</v>
      </c>
      <c r="F59" s="43" t="n">
        <v>1725</v>
      </c>
      <c r="G59" s="44" t="n">
        <f aca="false">E59/D59</f>
        <v>0.498983444670346</v>
      </c>
    </row>
    <row r="60" customFormat="false" ht="15" hidden="false" customHeight="false" outlineLevel="0" collapsed="false">
      <c r="A60" s="45"/>
      <c r="B60" s="46" t="n">
        <v>1</v>
      </c>
      <c r="C60" s="43" t="s">
        <v>184</v>
      </c>
      <c r="D60" s="43" t="n">
        <v>7612</v>
      </c>
      <c r="E60" s="43" t="n">
        <v>3180</v>
      </c>
      <c r="F60" s="43" t="n">
        <v>4432</v>
      </c>
      <c r="G60" s="44" t="n">
        <f aca="false">E60/D60</f>
        <v>0.417761429322123</v>
      </c>
    </row>
    <row r="61" customFormat="false" ht="15" hidden="false" customHeight="false" outlineLevel="0" collapsed="false">
      <c r="A61" s="36" t="s">
        <v>150</v>
      </c>
      <c r="B61" s="42" t="n">
        <v>-1</v>
      </c>
      <c r="C61" s="43" t="s">
        <v>183</v>
      </c>
      <c r="D61" s="43" t="n">
        <v>2655</v>
      </c>
      <c r="E61" s="43" t="n">
        <v>1673</v>
      </c>
      <c r="F61" s="43" t="n">
        <v>982</v>
      </c>
      <c r="G61" s="44" t="n">
        <f aca="false">E61/D61</f>
        <v>0.630131826741996</v>
      </c>
    </row>
    <row r="62" customFormat="false" ht="15" hidden="false" customHeight="false" outlineLevel="0" collapsed="false">
      <c r="A62" s="45"/>
      <c r="B62" s="47" t="n">
        <v>0</v>
      </c>
      <c r="C62" s="43" t="s">
        <v>185</v>
      </c>
      <c r="D62" s="43" t="n">
        <v>2569</v>
      </c>
      <c r="E62" s="43" t="n">
        <v>1718</v>
      </c>
      <c r="F62" s="43" t="n">
        <v>851</v>
      </c>
      <c r="G62" s="44" t="n">
        <f aca="false">E62/D62</f>
        <v>0.668742701440249</v>
      </c>
    </row>
    <row r="63" customFormat="false" ht="15" hidden="false" customHeight="false" outlineLevel="0" collapsed="false">
      <c r="A63" s="45"/>
      <c r="B63" s="46" t="n">
        <v>1</v>
      </c>
      <c r="C63" s="43" t="s">
        <v>184</v>
      </c>
      <c r="D63" s="43" t="n">
        <v>5831</v>
      </c>
      <c r="E63" s="43" t="n">
        <v>1507</v>
      </c>
      <c r="F63" s="43" t="n">
        <v>4324</v>
      </c>
      <c r="G63" s="44" t="n">
        <f aca="false">E63/D63</f>
        <v>0.258446235637112</v>
      </c>
    </row>
    <row r="64" customFormat="false" ht="15" hidden="false" customHeight="false" outlineLevel="0" collapsed="false">
      <c r="A64" s="36" t="s">
        <v>154</v>
      </c>
      <c r="B64" s="42" t="n">
        <v>-1</v>
      </c>
      <c r="C64" s="43" t="s">
        <v>183</v>
      </c>
      <c r="D64" s="43" t="n">
        <v>8201</v>
      </c>
      <c r="E64" s="43" t="n">
        <v>3885</v>
      </c>
      <c r="F64" s="43" t="n">
        <v>4316</v>
      </c>
      <c r="G64" s="44" t="n">
        <f aca="false">E64/D64</f>
        <v>0.473722716741861</v>
      </c>
    </row>
    <row r="65" customFormat="false" ht="15" hidden="false" customHeight="false" outlineLevel="0" collapsed="false">
      <c r="A65" s="45"/>
      <c r="B65" s="46" t="n">
        <v>1</v>
      </c>
      <c r="C65" s="43" t="s">
        <v>184</v>
      </c>
      <c r="D65" s="43" t="n">
        <v>2854</v>
      </c>
      <c r="E65" s="43" t="n">
        <v>1013</v>
      </c>
      <c r="F65" s="43" t="n">
        <v>1841</v>
      </c>
      <c r="G65" s="44" t="n">
        <f aca="false">E65/D65</f>
        <v>0.354940434477926</v>
      </c>
    </row>
    <row r="66" customFormat="false" ht="15" hidden="false" customHeight="false" outlineLevel="0" collapsed="false">
      <c r="A66" s="36" t="s">
        <v>158</v>
      </c>
      <c r="B66" s="42" t="n">
        <v>-1</v>
      </c>
      <c r="C66" s="43" t="s">
        <v>183</v>
      </c>
      <c r="D66" s="43" t="n">
        <v>1539</v>
      </c>
      <c r="E66" s="43" t="n">
        <v>927</v>
      </c>
      <c r="F66" s="43" t="n">
        <v>612</v>
      </c>
      <c r="G66" s="44" t="n">
        <f aca="false">E66/D66</f>
        <v>0.60233918128655</v>
      </c>
    </row>
    <row r="67" customFormat="false" ht="15" hidden="false" customHeight="false" outlineLevel="0" collapsed="false">
      <c r="A67" s="45"/>
      <c r="B67" s="46" t="n">
        <v>1</v>
      </c>
      <c r="C67" s="43" t="s">
        <v>184</v>
      </c>
      <c r="D67" s="43" t="n">
        <v>9516</v>
      </c>
      <c r="E67" s="43" t="n">
        <v>3971</v>
      </c>
      <c r="F67" s="43" t="n">
        <v>5545</v>
      </c>
      <c r="G67" s="44" t="n">
        <f aca="false">E67/D67</f>
        <v>0.417297183690626</v>
      </c>
    </row>
    <row r="68" customFormat="false" ht="15" hidden="false" customHeight="false" outlineLevel="0" collapsed="false">
      <c r="A68" s="36" t="s">
        <v>162</v>
      </c>
      <c r="B68" s="42" t="n">
        <v>-1</v>
      </c>
      <c r="C68" s="43" t="s">
        <v>183</v>
      </c>
      <c r="D68" s="43" t="n">
        <v>548</v>
      </c>
      <c r="E68" s="43" t="n">
        <v>193</v>
      </c>
      <c r="F68" s="43" t="n">
        <v>355</v>
      </c>
      <c r="G68" s="44" t="n">
        <f aca="false">E68/D68</f>
        <v>0.352189781021898</v>
      </c>
    </row>
    <row r="69" customFormat="false" ht="15" hidden="false" customHeight="false" outlineLevel="0" collapsed="false">
      <c r="A69" s="45"/>
      <c r="B69" s="47" t="n">
        <v>0</v>
      </c>
      <c r="C69" s="43" t="s">
        <v>185</v>
      </c>
      <c r="D69" s="43" t="n">
        <v>6156</v>
      </c>
      <c r="E69" s="43" t="n">
        <v>2929</v>
      </c>
      <c r="F69" s="43" t="n">
        <v>3227</v>
      </c>
      <c r="G69" s="44" t="n">
        <f aca="false">E69/D69</f>
        <v>0.475795971410007</v>
      </c>
    </row>
    <row r="70" customFormat="false" ht="15" hidden="false" customHeight="false" outlineLevel="0" collapsed="false">
      <c r="A70" s="45"/>
      <c r="B70" s="46" t="n">
        <v>1</v>
      </c>
      <c r="C70" s="43" t="s">
        <v>184</v>
      </c>
      <c r="D70" s="43" t="n">
        <v>4351</v>
      </c>
      <c r="E70" s="43" t="n">
        <v>1776</v>
      </c>
      <c r="F70" s="43" t="n">
        <v>2575</v>
      </c>
      <c r="G70" s="44" t="n">
        <f aca="false">E70/D70</f>
        <v>0.408182027120202</v>
      </c>
    </row>
    <row r="71" customFormat="false" ht="15" hidden="false" customHeight="false" outlineLevel="0" collapsed="false">
      <c r="A71" s="36" t="s">
        <v>166</v>
      </c>
      <c r="B71" s="42" t="n">
        <v>-1</v>
      </c>
      <c r="C71" s="43" t="s">
        <v>183</v>
      </c>
      <c r="D71" s="43" t="n">
        <v>1550</v>
      </c>
      <c r="E71" s="43" t="n">
        <v>839</v>
      </c>
      <c r="F71" s="43" t="n">
        <v>711</v>
      </c>
      <c r="G71" s="44" t="n">
        <f aca="false">E71/D71</f>
        <v>0.541290322580645</v>
      </c>
    </row>
    <row r="72" customFormat="false" ht="15" hidden="false" customHeight="false" outlineLevel="0" collapsed="false">
      <c r="A72" s="45"/>
      <c r="B72" s="46" t="n">
        <v>1</v>
      </c>
      <c r="C72" s="43" t="s">
        <v>184</v>
      </c>
      <c r="D72" s="43" t="n">
        <v>9505</v>
      </c>
      <c r="E72" s="43" t="n">
        <v>4059</v>
      </c>
      <c r="F72" s="43" t="n">
        <v>5446</v>
      </c>
      <c r="G72" s="44" t="n">
        <f aca="false">E72/D72</f>
        <v>0.427038400841662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2026-05-09T17:05:35Z</dcterms:created>
  <dc:creator>openpyxl</dc:creator>
  <dc:description/>
  <dc:language>en-US</dc:language>
  <cp:lastModifiedBy/>
  <dcterms:modified xsi:type="dcterms:W3CDTF">2026-05-09T17:05:43Z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